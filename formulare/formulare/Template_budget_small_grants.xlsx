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kopolis.sharepoint.com/sites/CivilSocietyFundSlovakia/Zdielane dokumenty/CSF SK/5_Programme Mngmt &amp; Budget/"/>
    </mc:Choice>
  </mc:AlternateContent>
  <xr:revisionPtr revIDLastSave="866" documentId="14_{64E7509E-8AAF-434C-9523-90CCD8F65778}" xr6:coauthVersionLast="47" xr6:coauthVersionMax="47" xr10:uidLastSave="{BDCCF93E-E301-4E97-B649-4C9B0A0964BB}"/>
  <bookViews>
    <workbookView xWindow="-24120" yWindow="1635" windowWidth="24240" windowHeight="13020" firstSheet="1" activeTab="1" xr2:uid="{B9110B3E-558A-43B2-84EA-1D2A2182B177}"/>
  </bookViews>
  <sheets>
    <sheet name="kalkulačka_roz_zjed." sheetId="6" state="hidden" r:id="rId1"/>
    <sheet name="Vysvetlenie_k_súboru avyplneniu" sheetId="8" r:id="rId2"/>
    <sheet name="typy_grantov" sheetId="7" r:id="rId3"/>
    <sheet name="kalkulačka_na typ_rozpočtu" sheetId="4" r:id="rId4"/>
    <sheet name="malé_granty_typ_A" sheetId="1" r:id="rId5"/>
    <sheet name="malé_granty_typ_B" sheetId="3" r:id="rId6"/>
    <sheet name="malé_granty_typ_C" sheetId="5" r:id="rId7"/>
    <sheet name="Kalkulácia_hodinovej sadzby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5" l="1"/>
  <c r="I11" i="5"/>
  <c r="I12" i="5"/>
  <c r="I13" i="5"/>
  <c r="I14" i="5"/>
  <c r="I9" i="5"/>
  <c r="J9" i="3"/>
  <c r="J10" i="3"/>
  <c r="J11" i="3"/>
  <c r="J12" i="3"/>
  <c r="J13" i="3"/>
  <c r="J8" i="3"/>
  <c r="I7" i="1"/>
  <c r="I8" i="1"/>
  <c r="I9" i="1"/>
  <c r="I10" i="1"/>
  <c r="I11" i="1"/>
  <c r="I6" i="1"/>
  <c r="L12" i="4" l="1"/>
  <c r="I12" i="4"/>
  <c r="F6" i="4"/>
  <c r="F5" i="4"/>
  <c r="F13" i="4"/>
  <c r="I26" i="2"/>
  <c r="I4" i="4"/>
  <c r="I46" i="5"/>
  <c r="I49" i="5" s="1"/>
  <c r="I47" i="5"/>
  <c r="I48" i="5"/>
  <c r="I39" i="5"/>
  <c r="I40" i="5"/>
  <c r="I41" i="5"/>
  <c r="I32" i="5"/>
  <c r="I33" i="5"/>
  <c r="I34" i="5"/>
  <c r="I19" i="5"/>
  <c r="I20" i="5"/>
  <c r="I21" i="5"/>
  <c r="I25" i="5"/>
  <c r="I26" i="5"/>
  <c r="I27" i="5"/>
  <c r="J45" i="3"/>
  <c r="J46" i="3"/>
  <c r="J47" i="3"/>
  <c r="J38" i="3"/>
  <c r="J39" i="3"/>
  <c r="J41" i="3" s="1"/>
  <c r="J40" i="3"/>
  <c r="J31" i="3"/>
  <c r="J32" i="3"/>
  <c r="J33" i="3"/>
  <c r="J24" i="3"/>
  <c r="J27" i="3" s="1"/>
  <c r="J25" i="3"/>
  <c r="J26" i="3"/>
  <c r="J19" i="3"/>
  <c r="J20" i="3"/>
  <c r="J18" i="3"/>
  <c r="I7" i="6"/>
  <c r="C6" i="6"/>
  <c r="C8" i="6" s="1"/>
  <c r="F6" i="6"/>
  <c r="L5" i="4"/>
  <c r="L9" i="4"/>
  <c r="L7" i="4"/>
  <c r="F33" i="2"/>
  <c r="F34" i="2"/>
  <c r="F32" i="2"/>
  <c r="H33" i="2"/>
  <c r="I33" i="2" s="1"/>
  <c r="H34" i="2"/>
  <c r="I34" i="2" s="1"/>
  <c r="H32" i="2"/>
  <c r="I32" i="2" s="1"/>
  <c r="L6" i="4"/>
  <c r="L8" i="4"/>
  <c r="L10" i="4"/>
  <c r="I6" i="4"/>
  <c r="I7" i="4"/>
  <c r="I8" i="4"/>
  <c r="I9" i="4"/>
  <c r="I10" i="4"/>
  <c r="I5" i="4"/>
  <c r="F28" i="2"/>
  <c r="H28" i="2" s="1"/>
  <c r="I28" i="2" s="1"/>
  <c r="F27" i="2"/>
  <c r="H27" i="2" s="1"/>
  <c r="I27" i="2" s="1"/>
  <c r="F26" i="2"/>
  <c r="H26" i="2" s="1"/>
  <c r="C13" i="4"/>
  <c r="J34" i="3" l="1"/>
  <c r="I42" i="5"/>
  <c r="I35" i="5"/>
  <c r="I22" i="5"/>
  <c r="I28" i="5"/>
  <c r="I15" i="5"/>
  <c r="I51" i="5" s="1"/>
  <c r="J48" i="3"/>
  <c r="J21" i="3"/>
  <c r="J14" i="3"/>
  <c r="I8" i="6"/>
  <c r="L7" i="6"/>
  <c r="L8" i="6" s="1"/>
  <c r="F8" i="6"/>
  <c r="L13" i="4"/>
  <c r="J4" i="3" l="1"/>
  <c r="I5" i="5"/>
  <c r="I53" i="5" s="1"/>
  <c r="J50" i="3" l="1"/>
  <c r="J52" i="3" s="1"/>
  <c r="I12" i="1"/>
  <c r="I14" i="1" s="1"/>
  <c r="I16" i="1" s="1"/>
  <c r="I13" i="4" l="1"/>
</calcChain>
</file>

<file path=xl/sharedStrings.xml><?xml version="1.0" encoding="utf-8"?>
<sst xmlns="http://schemas.openxmlformats.org/spreadsheetml/2006/main" count="555" uniqueCount="212">
  <si>
    <t>jednotka</t>
  </si>
  <si>
    <t>počet jednotiek</t>
  </si>
  <si>
    <t>jednotková cena</t>
  </si>
  <si>
    <t xml:space="preserve"> </t>
  </si>
  <si>
    <t>a</t>
  </si>
  <si>
    <t>b</t>
  </si>
  <si>
    <t>a x b</t>
  </si>
  <si>
    <t>Hodinová sadzba</t>
  </si>
  <si>
    <t>Pracovník 1</t>
  </si>
  <si>
    <t>Pracovník 2</t>
  </si>
  <si>
    <t>Pracovník 3</t>
  </si>
  <si>
    <t>fyzická osoba pracuje podľa pokynov a pod dohľadom prijímateľa grantu alebo projektového partnera,</t>
  </si>
  <si>
    <t>výsledky práce patria prijímateľovi grantu alebo projektovému partnerovi,</t>
  </si>
  <si>
    <t>je zapojená do implementácie projektu obdobne ako interný personál,</t>
  </si>
  <si>
    <t>je odmeňovaná obdobne ako zamestnanci za rovnocennú prácu,</t>
  </si>
  <si>
    <t>Osobné výdavky</t>
  </si>
  <si>
    <t>Zamestnanec/
Fyzická osoba</t>
  </si>
  <si>
    <t>hodina</t>
  </si>
  <si>
    <t>zdôvodnenie v rozsahu podľa poznámky nižšie:</t>
  </si>
  <si>
    <t>stanovené paušálom vo výške 100% Osobných výdavkov</t>
  </si>
  <si>
    <t>Spolu osobné výdavky</t>
  </si>
  <si>
    <t>I. Osobné výdavky</t>
  </si>
  <si>
    <t xml:space="preserve">II. Ostatné výdavky </t>
  </si>
  <si>
    <t>Spolu výdaky projektu (I.+II.)</t>
  </si>
  <si>
    <t>Rok</t>
  </si>
  <si>
    <t>Pracovníci projektu</t>
  </si>
  <si>
    <t>100 % oprávnených priamych mzdových nákladov môže byť použitých na pokrytie všetkých ostatných oprávnených nákladov.</t>
  </si>
  <si>
    <t>Paušál</t>
  </si>
  <si>
    <t>12/24</t>
  </si>
  <si>
    <t>Cestovné výdavky</t>
  </si>
  <si>
    <t>Služby (subdodávky)</t>
  </si>
  <si>
    <t>Spotrebný materiál</t>
  </si>
  <si>
    <t>Výdavky na vybavenie</t>
  </si>
  <si>
    <t>Rozpočtové oprávnené výdavky</t>
  </si>
  <si>
    <t>Spolu</t>
  </si>
  <si>
    <t>Priame výdavky</t>
  </si>
  <si>
    <t>Nepriame výdavky</t>
  </si>
  <si>
    <t>NA</t>
  </si>
  <si>
    <r>
      <t xml:space="preserve">Kalkulácia rozpočtu typu A
</t>
    </r>
    <r>
      <rPr>
        <sz val="11"/>
        <color theme="1"/>
        <rFont val="Aptos Narrow"/>
        <family val="2"/>
        <scheme val="minor"/>
      </rPr>
      <t>paušál 100 % oprávnených priamych mzdových nákladov môže byť použitých na pokrytie všetkých ostatných oprávnených výdavkov.</t>
    </r>
  </si>
  <si>
    <t>Mesiac/rok</t>
  </si>
  <si>
    <t>Kalkulácia  úväzku</t>
  </si>
  <si>
    <t>Počet hod. odpracovaných na projekte  / mesiac</t>
  </si>
  <si>
    <t>Kalkulácia hodinovej sadzby osobných výdavkov</t>
  </si>
  <si>
    <t>1.Na základe ročnej odmeny - príklad</t>
  </si>
  <si>
    <t>2. Na základe mesačnej odmeny - príklad</t>
  </si>
  <si>
    <t>Položka 1</t>
  </si>
  <si>
    <t>Položka 2</t>
  </si>
  <si>
    <t>Položka 3</t>
  </si>
  <si>
    <t>Plánované výdavky projektu / rozpočet</t>
  </si>
  <si>
    <r>
      <t xml:space="preserve">Kalkulácia rozpočtu typu C
</t>
    </r>
    <r>
      <rPr>
        <sz val="11"/>
        <color theme="1"/>
        <rFont val="Aptos Narrow"/>
        <family val="2"/>
        <scheme val="minor"/>
      </rPr>
      <t>nepriame výdavky paušál t.j. 15 % 
z oprávnených osobných výdavkov</t>
    </r>
  </si>
  <si>
    <t xml:space="preserve">Rozpočet: Žiadateľ - typ A </t>
  </si>
  <si>
    <t xml:space="preserve">Ostatné výdavky - paušál </t>
  </si>
  <si>
    <t>Dokladovanie</t>
  </si>
  <si>
    <t>!" Points for attention where the up to 40% flat rate is used</t>
  </si>
  <si>
    <t>1. Project’s budget is calculated not as a 60% vs 40% flat rate. Instead, a 40% flat rate is applied on top of the</t>
  </si>
  <si>
    <t>planned direct staff costs.</t>
  </si>
  <si>
    <t>2. Proper planning and budgeting of direct staff costs is crucial – this defines the overall project budget. Improperly</t>
  </si>
  <si>
    <t>planned direct staff costs can cause severe project problems and delays (but don’t artificially inflate direct staff costs</t>
  </si>
  <si>
    <t>– whether or not they are adequate will be confirmed at the quality assessment stage).</t>
  </si>
  <si>
    <t>3. Detailed description of the project’s outputs and results is a must!</t>
  </si>
  <si>
    <t>4. Changes to project outputs/ results are limited (since the only variable in the project’s budget is direct staff costs).</t>
  </si>
  <si>
    <t>5. Need for “clean direct staff costs” - errors in staff costs will lead to lower amount of the flat rate.</t>
  </si>
  <si>
    <t>6. Assessment stage will confirm whether the direct staff costs are adequate for delivering the promised outputs/</t>
  </si>
  <si>
    <t>results.</t>
  </si>
  <si>
    <t>7. Delays in implementation will have a bigger impact on the reimbursed budget; no staff costs reported means no</t>
  </si>
  <si>
    <t>40% flat rate received.</t>
  </si>
  <si>
    <t>8. If the direct staff cost is lower, then it triggers a reduced 40% flat rate.</t>
  </si>
  <si>
    <t>9. Eligibility of expenditure rules stay and are not removed (even though not checked)!</t>
  </si>
  <si>
    <t>10. Not for all – the 40% flat rate is suitable for certain types of projects/ beneficiaries.</t>
  </si>
  <si>
    <t>áno</t>
  </si>
  <si>
    <t>nie</t>
  </si>
  <si>
    <t>V prípade použitia jednotkového nákladu:</t>
  </si>
  <si>
    <t>Nevystupuje ako externý expert alebo subdodávateľ.</t>
  </si>
  <si>
    <t>Paušál na nepriame výdavky  = 15 % z oprávnených osobných výdavkov</t>
  </si>
  <si>
    <t>Uveďte detailný popis činnosti a úväzku v rozshau  X hod/mesiac, €/hod, zdôvodnite potrebu pre realizáciu projektu - súlad s aktivitami.</t>
  </si>
  <si>
    <t>KALKULAČKA  - Malé granty</t>
  </si>
  <si>
    <t>Ostatné priame (Cestovné výdavky, Spotrebný materiál, Výdavky na vybavenie, Služby (subdodávky), Iné)</t>
  </si>
  <si>
    <t xml:space="preserve">
- pri použití reálnej mzdy (výplatné pásky, úhrada miezd)
- pri použití vypočítanej jednotkovej ceny (hodinovej sadzby) výkazmi práce.</t>
  </si>
  <si>
    <t>Nepriame výdavky - paušál</t>
  </si>
  <si>
    <t>Iné priame výdavky</t>
  </si>
  <si>
    <r>
      <t xml:space="preserve">Kalkulácia rozpočtu typu B
</t>
    </r>
    <r>
      <rPr>
        <sz val="11"/>
        <color theme="1"/>
        <rFont val="Aptos Narrow"/>
        <family val="2"/>
        <scheme val="minor"/>
      </rPr>
      <t xml:space="preserve">nepriame výdavky paušál t.j. 7 % 
z oprávnených priamych nákladov </t>
    </r>
  </si>
  <si>
    <r>
      <t xml:space="preserve">Kalkulácia rozpočtu typu B
</t>
    </r>
    <r>
      <rPr>
        <sz val="11"/>
        <color theme="1"/>
        <rFont val="Aptos Narrow"/>
        <family val="2"/>
        <scheme val="minor"/>
      </rPr>
      <t>nepriame výdavky paušál t.j. 7 % 
z oprávnených priamych výdavkov</t>
    </r>
  </si>
  <si>
    <t>korekcia priamych výdavkov</t>
  </si>
  <si>
    <t>Limity na výšku grantu pre jednotlivé typy projektov:</t>
  </si>
  <si>
    <t>Oprávnená výška GRANTU v prípade projektu bez partnera z donorskej krajiny</t>
  </si>
  <si>
    <t>Oprávnená výška GRANTU v prípade projektu s partnerom z donorskej krajiny</t>
  </si>
  <si>
    <t xml:space="preserve">min. </t>
  </si>
  <si>
    <t>max</t>
  </si>
  <si>
    <t>max.</t>
  </si>
  <si>
    <t>Oprávnená dĺžka implementácie projektu</t>
  </si>
  <si>
    <t>typ projektu</t>
  </si>
  <si>
    <t>min.</t>
  </si>
  <si>
    <t>0 mesiacov</t>
  </si>
  <si>
    <t>12 mesiacov</t>
  </si>
  <si>
    <t>18 mesiacov</t>
  </si>
  <si>
    <t>24 mesiacov</t>
  </si>
  <si>
    <t>malý grant</t>
  </si>
  <si>
    <t>projektový grant</t>
  </si>
  <si>
    <t>organizačný grant</t>
  </si>
  <si>
    <t xml:space="preserve">malý grant </t>
  </si>
  <si>
    <t>36 mesiacov</t>
  </si>
  <si>
    <t>30 mesiacov</t>
  </si>
  <si>
    <t>Civil Society Fund Slovakia</t>
  </si>
  <si>
    <t>Zjednodušené vykazovanie - možnosti</t>
  </si>
  <si>
    <t>paušál 100 %</t>
  </si>
  <si>
    <t>paušál 40 %</t>
  </si>
  <si>
    <t>Paušál na nepriame výdavky = 7 % z oprávnených priamych výdavkov</t>
  </si>
  <si>
    <t>Paušál X % oprávnených priamych osobných výdavkov na pokrytie všetkých ostatných oprávnených nákladov.</t>
  </si>
  <si>
    <t>Lump sum</t>
  </si>
  <si>
    <t>áno - v rámci lump sum</t>
  </si>
  <si>
    <t>Inštrukcie k vyplneniu jednotlivých riadkov</t>
  </si>
  <si>
    <t>9.</t>
  </si>
  <si>
    <t>Obdobie realizácie "od" uveďte vo formáte: 01/MM/RRRR ( napr: 01.10.2021)
Obdobie realizácie "do" uveďte vo formáte: 31/MM/RRRR ( napr: 31.12.2022)</t>
  </si>
  <si>
    <t>10.</t>
  </si>
  <si>
    <t>Riadok 10 sa vyplní automaticky.</t>
  </si>
  <si>
    <t>11-13.</t>
  </si>
  <si>
    <t>V prípade, že máte partnerov, vyplňte riadky 11-13., ak partnerov nemáte, ostane v riadku č. 11 nula.</t>
  </si>
  <si>
    <t>32.</t>
  </si>
  <si>
    <t>Vyplňte bunku "Výška spolufinancovanie (min. 10%)", uveďte  % hodnotu spolufinancovania v celých číslach. Výška požadovaného grantu sa Vám automaticky vypočíta pri zaokrúhlení na celé eurá.</t>
  </si>
  <si>
    <t>Rozpočet_Žiadateľ</t>
  </si>
  <si>
    <t>bez možnosti zapojenia Partnera 
do projektu</t>
  </si>
  <si>
    <t>Fyzická osoba</t>
  </si>
  <si>
    <t xml:space="preserve">Zamestnanec
</t>
  </si>
  <si>
    <t>Paušál na nepriame výdavky = 7 % 
z oprávnených priamych výdavkov</t>
  </si>
  <si>
    <t>Paušál na nepriame výdavky  = 15 % 
z oprávnených osobných výdavkov</t>
  </si>
  <si>
    <t>Kroky</t>
  </si>
  <si>
    <t>riadky v hárku</t>
  </si>
  <si>
    <t>A. rozpočtovaná hodinová sadzba je plánovaná na základe výpočtu hodinovej sadzby - povinne priložená kalkulácia a potvrdzjúce doklady podľa hárku "Kalkulácia_hodinovej sadzby"</t>
  </si>
  <si>
    <t>B. Rozpočtovaná hodinová sadzba/ mesačná mzda na základe reálne vyplatených miezd</t>
  </si>
  <si>
    <t>hodina/mesiac</t>
  </si>
  <si>
    <r>
      <rPr>
        <b/>
        <sz val="10"/>
        <rFont val="Aptos Narrow"/>
        <family val="2"/>
        <scheme val="minor"/>
      </rPr>
      <t xml:space="preserve">A. </t>
    </r>
    <r>
      <rPr>
        <sz val="10"/>
        <rFont val="Aptos Narrow"/>
        <family val="2"/>
        <charset val="238"/>
        <scheme val="minor"/>
      </rPr>
      <t>kalkuláciou jednotkovej ceny</t>
    </r>
  </si>
  <si>
    <r>
      <rPr>
        <b/>
        <sz val="10"/>
        <rFont val="Aptos Narrow"/>
        <family val="2"/>
        <scheme val="minor"/>
      </rPr>
      <t>B.</t>
    </r>
    <r>
      <rPr>
        <sz val="10"/>
        <rFont val="Aptos Narrow"/>
        <family val="2"/>
        <charset val="238"/>
        <scheme val="minor"/>
      </rPr>
      <t xml:space="preserve"> reálne vyplatenou mzdou</t>
    </r>
  </si>
  <si>
    <t>Uveďte detailný popis činnosti a úväzku v rozsahu  X hod/mesiac, €/hod, zdôvodnite potrebu pre realizáciu projektu - súlad s aktivitami.</t>
  </si>
  <si>
    <t>Dokladovanie v projektových správach</t>
  </si>
  <si>
    <t>Pozícia v projekte / Popis činnosti</t>
  </si>
  <si>
    <t>Výdavok spolu</t>
  </si>
  <si>
    <t>zdôvodnenie - súlad s aktivvitami projektu</t>
  </si>
  <si>
    <t>Cestovné  na .... ....</t>
  </si>
  <si>
    <t>Popis výdavku</t>
  </si>
  <si>
    <t>Náklady na rekonštrukciu, renováciu alebo obnovu nehnuteľností nesmú presiahnuť 50 % priamych oprávnených výdavkov projektu.</t>
  </si>
  <si>
    <t>Poznámka*:</t>
  </si>
  <si>
    <r>
      <t>Výdavky na vybavenie</t>
    </r>
    <r>
      <rPr>
        <sz val="11"/>
        <color theme="1"/>
        <rFont val="Aptos Narrow"/>
        <family val="2"/>
        <scheme val="minor"/>
      </rPr>
      <t xml:space="preserve">  (obstaranie nového alebo použitého vybavenia, až do výšky plnej obstarávacej ceny)</t>
    </r>
  </si>
  <si>
    <t>Služby / Subdodávky</t>
  </si>
  <si>
    <t>Spolu rpozpočet (Priame a Nepriame výdavky )</t>
  </si>
  <si>
    <t>Nepriame výdavky (paušál - 15 % z oprávnených osobných výdavkov )</t>
  </si>
  <si>
    <t>Nepriame výdavky (paušál - 7 % z oprávnených priamych výdavkov )</t>
  </si>
  <si>
    <t>Rozpočet  malý grant - typ B</t>
  </si>
  <si>
    <t>Rozpočet  malý grant - typ C</t>
  </si>
  <si>
    <t>5. - 7.</t>
  </si>
  <si>
    <t>Vyplňte riadky 5.-7.,</t>
  </si>
  <si>
    <t>riadok 13.</t>
  </si>
  <si>
    <t>Inštrukcie k vyplneniu jednotlivých riadkov / stĺpcov</t>
  </si>
  <si>
    <t>Povinná podporná dokumentácia k rozpočtu</t>
  </si>
  <si>
    <t>Počet pracovných hodín v uvedenom mesiaci</t>
  </si>
  <si>
    <t>Preukazuje sa výkazmi práce</t>
  </si>
  <si>
    <t>Zdôvodnenie v rozsahu podľa poznámky nižšie:</t>
  </si>
  <si>
    <t>Jednotka</t>
  </si>
  <si>
    <t>riadky 5.-11. v stĺpci C</t>
  </si>
  <si>
    <t xml:space="preserve">  - pri použití reálnej mzdy (výplatné pásky, úhrada miezd)
  - pri použití vypočítanej jednotkovej ceny (hodinovej sadzby) výkazmi práce.</t>
  </si>
  <si>
    <t>Výdavky na rekonštrukciu, renováciu alebo obnovu nehnuteľností nesmú presiahnuť 50 % priamych oprávnených výdavkov projektu.</t>
  </si>
  <si>
    <t xml:space="preserve">
Krok 1: 
Hárok: 
typy_grantov
</t>
  </si>
  <si>
    <t xml:space="preserve">
Krok 2: 
Hárok: kalkulačka_na_typ_grantu
</t>
  </si>
  <si>
    <t>Vyplňte iba riadky 5.-11. v stĺpci C. Ostatné bunky budú automaticky vypočítané a vyplnené.</t>
  </si>
  <si>
    <t>Tento hárok predstavuje ucelený prehľad typov, dlžke, ch projetov a možnosti zjedndušeného vykazovania. Nie je určený na vypĺňanie.</t>
  </si>
  <si>
    <t>Tento hárok slúži k tomu, aby ste sa pomocou kalkulačky mohli rozhodnúť pre optimálny typ ropočtu projektu.</t>
  </si>
  <si>
    <t>V prípade, že sa rozhodnete pre rozpočet projektu typu A. V tomto prípade rozpočet má dve kategórie:
- osobné výdavky
- ostatné výdavky kalkulované paušálom vo výške  100 % oprávnených priamych osobných výdavkov</t>
  </si>
  <si>
    <t xml:space="preserve">Krok 3: 
Hárok: Kalkulácia_hodinovej sadzby
</t>
  </si>
  <si>
    <r>
      <t>2. Fyzické osoby (FO) pracujúce na inom základe ako pracovná zmluva s prijímateľom grantu (PP)</t>
    </r>
    <r>
      <rPr>
        <sz val="11"/>
        <color theme="1"/>
        <rFont val="Aptos Narrow"/>
        <family val="2"/>
        <charset val="238"/>
        <scheme val="minor"/>
      </rPr>
      <t xml:space="preserve"> za splnenia nasledujúcich podmienok:</t>
    </r>
  </si>
  <si>
    <r>
      <t xml:space="preserve">V prípade </t>
    </r>
    <r>
      <rPr>
        <b/>
        <sz val="11"/>
        <color theme="1"/>
        <rFont val="Calibri"/>
        <family val="2"/>
        <charset val="238"/>
      </rPr>
      <t>Z</t>
    </r>
    <r>
      <rPr>
        <sz val="11"/>
        <color theme="1"/>
        <rFont val="Calibri"/>
        <family val="2"/>
        <charset val="238"/>
      </rPr>
      <t xml:space="preserve">: mzdový list za rok 2024 so zákonnými náležitosťami 
alebo
V prípade </t>
    </r>
    <r>
      <rPr>
        <b/>
        <sz val="11"/>
        <color theme="1"/>
        <rFont val="Calibri"/>
        <family val="2"/>
        <charset val="238"/>
      </rPr>
      <t xml:space="preserve">FO: </t>
    </r>
    <r>
      <rPr>
        <sz val="11"/>
        <color theme="1"/>
        <rFont val="Calibri"/>
        <family val="2"/>
        <charset val="238"/>
      </rPr>
      <t>Zmluvu s dohodnutou ročnou odmenou</t>
    </r>
  </si>
  <si>
    <t>Plný úväzok v danom roku podľa Fondu pracovného času v SR</t>
  </si>
  <si>
    <t>Počet hod. na projekte 
(plný úväzok podľa pravidiel Programu CSF v úhrne 
1720 hod/rok)</t>
  </si>
  <si>
    <t>Mzdový list / Celková ročná odmena podľa zmluvy</t>
  </si>
  <si>
    <r>
      <t>1. Zamestnanci (Z) pracujúci na základe pracovnej zmluvy, Dohody o vykonaní práce a Dohody o pracovnej činnosti</t>
    </r>
    <r>
      <rPr>
        <sz val="11"/>
        <color theme="1"/>
        <rFont val="Aptos Narrow"/>
        <family val="2"/>
        <charset val="238"/>
        <scheme val="minor"/>
      </rPr>
      <t xml:space="preserve"> (vrátane odvodov na sociálne zabezpečenie a iných zákonných nákladov)</t>
    </r>
  </si>
  <si>
    <r>
      <t>Cena práce z výplatnej pásky (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charset val="238"/>
        <scheme val="minor"/>
      </rPr>
      <t>)/ 
mesačná faktúra (</t>
    </r>
    <r>
      <rPr>
        <b/>
        <sz val="11"/>
        <color theme="1"/>
        <rFont val="Aptos Narrow"/>
        <family val="2"/>
        <scheme val="minor"/>
      </rPr>
      <t>FO</t>
    </r>
    <r>
      <rPr>
        <sz val="11"/>
        <color theme="1"/>
        <rFont val="Aptos Narrow"/>
        <family val="2"/>
        <scheme val="minor"/>
      </rPr>
      <t>)</t>
    </r>
  </si>
  <si>
    <r>
      <t>výplatná páska (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charset val="238"/>
        <scheme val="minor"/>
      </rPr>
      <t>)/
faktúra za daný mesiac(</t>
    </r>
    <r>
      <rPr>
        <b/>
        <sz val="11"/>
        <color theme="1"/>
        <rFont val="Aptos Narrow"/>
        <family val="2"/>
        <scheme val="minor"/>
      </rPr>
      <t>FO</t>
    </r>
    <r>
      <rPr>
        <sz val="11"/>
        <color theme="1"/>
        <rFont val="Aptos Narrow"/>
        <family val="2"/>
        <charset val="238"/>
        <scheme val="minor"/>
      </rPr>
      <t>)</t>
    </r>
  </si>
  <si>
    <r>
      <t xml:space="preserve">Odpracované hodiny uvedené vo výplatnej páske  </t>
    </r>
    <r>
      <rPr>
        <b/>
        <sz val="11"/>
        <color theme="1"/>
        <rFont val="Aptos Narrow"/>
        <family val="2"/>
        <scheme val="minor"/>
      </rPr>
      <t xml:space="preserve">(Z) </t>
    </r>
    <r>
      <rPr>
        <sz val="11"/>
        <color theme="1"/>
        <rFont val="Aptos Narrow"/>
        <family val="2"/>
        <charset val="238"/>
        <scheme val="minor"/>
      </rPr>
      <t>/ Faktúre (</t>
    </r>
    <r>
      <rPr>
        <b/>
        <sz val="11"/>
        <color theme="1"/>
        <rFont val="Aptos Narrow"/>
        <family val="2"/>
        <scheme val="minor"/>
      </rPr>
      <t>FO</t>
    </r>
    <r>
      <rPr>
        <sz val="11"/>
        <color theme="1"/>
        <rFont val="Aptos Narrow"/>
        <family val="2"/>
        <charset val="238"/>
        <scheme val="minor"/>
      </rPr>
      <t>)</t>
    </r>
  </si>
  <si>
    <t xml:space="preserve">Krok 4: 
Výber optimálneho typu rozpočtu a vyplnenie relevantného hárku k danému typu
</t>
  </si>
  <si>
    <t>stĺpec D</t>
  </si>
  <si>
    <t>vyberte, či ide o zamestnanca ( Z) alebo fyzickú osobu (FO)</t>
  </si>
  <si>
    <t>stĺpec E</t>
  </si>
  <si>
    <t>V stĺpci E sa rozhodnite, či mzda/odmena bude vyplatená na základe:
- zjednodušeného vykazovania stanovenej hodinovou sadzbou ( pozri krok 3)
- reálne vyplatenou mzdou/odmenou.   
Pri zjednodušenom vykazovaní ( hodinovou sadzbou ) sa výdavky preukazujú len výkazom práce, pri reálnej mzde/odmene daňovými dokladmi.</t>
  </si>
  <si>
    <t>stanovte jednotku: hodiny alebo mesiac</t>
  </si>
  <si>
    <t>stĺpec H</t>
  </si>
  <si>
    <t>uvádza jednotkovú cenu:
- pre Z = cena práce
- pre FO = fakturovanú odmenu</t>
  </si>
  <si>
    <t>stĺpec I</t>
  </si>
  <si>
    <t>riadok 14.</t>
  </si>
  <si>
    <t>ostatné výdavky projektu sú určené paušálom a vypočítané ako 100% sosbných výdavkov.</t>
  </si>
  <si>
    <t>riadok 16.</t>
  </si>
  <si>
    <t>celkový rozpočet projektu = osobné výdavky  + ostatné výdavky.</t>
  </si>
  <si>
    <r>
      <t xml:space="preserve">Hárok: </t>
    </r>
    <r>
      <rPr>
        <b/>
        <sz val="10"/>
        <rFont val="Arial CE"/>
        <family val="2"/>
        <charset val="238"/>
      </rPr>
      <t>malé_granty_typ_A</t>
    </r>
  </si>
  <si>
    <r>
      <t xml:space="preserve">
Hárok: </t>
    </r>
    <r>
      <rPr>
        <b/>
        <sz val="10"/>
        <rFont val="Arial CE"/>
        <family val="2"/>
        <charset val="238"/>
      </rPr>
      <t>malé_granty_typ_B</t>
    </r>
    <r>
      <rPr>
        <sz val="10"/>
        <rFont val="Arial CE"/>
        <family val="2"/>
        <charset val="238"/>
      </rPr>
      <t xml:space="preserve">
</t>
    </r>
  </si>
  <si>
    <r>
      <t xml:space="preserve">Hárok: </t>
    </r>
    <r>
      <rPr>
        <b/>
        <sz val="10"/>
        <rFont val="Arial CE"/>
        <family val="2"/>
        <charset val="238"/>
      </rPr>
      <t>malé_granty_typ_C</t>
    </r>
    <r>
      <rPr>
        <sz val="10"/>
        <rFont val="Arial CE"/>
        <family val="2"/>
        <charset val="238"/>
      </rPr>
      <t xml:space="preserve">
</t>
    </r>
  </si>
  <si>
    <t>Rekonštrukcia/ renovácia/ obnova</t>
  </si>
  <si>
    <t>výdavok spolu</t>
  </si>
  <si>
    <t>zdôvodnenie - súlad s aktivitami projektu</t>
  </si>
  <si>
    <t xml:space="preserve">jednotková cena
</t>
  </si>
  <si>
    <t>Spolu rozpočet (Priame a Nepriame výdavky )</t>
  </si>
  <si>
    <t xml:space="preserve">Jednotková cena
</t>
  </si>
  <si>
    <t>V r. 13. bude automaticky vypočítaná celková výška grantu a to pri každom type rozpočtu. Pozor na dodržanie výsky grantu (max. 25 000 €).
Podľa výsledkov v kalkulačke sa rozhodnite pre svoj variant a vyplňte k nemu príslušný hárok.</t>
  </si>
  <si>
    <t>automatický výpočet podľa počtu jednotiek a jednotkovej ceny</t>
  </si>
  <si>
    <r>
      <t xml:space="preserve">V prípade, že sa rozhodnete pre grant typu B, vyplnte tento hárok.
V tomto prípade rozpočet obsahuje všetky oprávnené kategórie priamych výdavkov podľa pravidiel:
- osobné výdavky (vyplňte podľa inštrukcií pre typ A)
- ďalšie oprávnené výdavky ( cestovné,  spotrebný materiál, výdavky na vybavenie, služby ....) vyplnte položkovo s uvedením počtu, jednotkovej ceny a súvisu s aktivitami projektu.
Pri položkách spotrebný materiál, výdavky na vybavenie, služby  určite, či ide o rekonštrukciu/renováciu/obnovu nehnuteľností alebo nie.
V tabuľke je automatický výpočet paušálnych výdavkov na nepriame výdavky (réžiu) vo výške  </t>
    </r>
    <r>
      <rPr>
        <u/>
        <sz val="10"/>
        <rFont val="Arial CE"/>
        <family val="2"/>
        <charset val="238"/>
      </rPr>
      <t xml:space="preserve">7% z oprávnených priamych výdavkov. </t>
    </r>
    <r>
      <rPr>
        <sz val="10"/>
        <rFont val="Arial CE"/>
        <family val="2"/>
        <charset val="238"/>
      </rPr>
      <t xml:space="preserve">
</t>
    </r>
  </si>
  <si>
    <r>
      <t xml:space="preserve">Cena práce v prípade </t>
    </r>
    <r>
      <rPr>
        <b/>
        <sz val="11"/>
        <color theme="1"/>
        <rFont val="Aptos Narrow"/>
        <family val="2"/>
        <scheme val="minor"/>
      </rPr>
      <t xml:space="preserve">Z 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2"/>
        <charset val="238"/>
        <scheme val="minor"/>
      </rPr>
      <t xml:space="preserve">
Ročná fakturovaná odmena v prípade </t>
    </r>
    <r>
      <rPr>
        <b/>
        <sz val="11"/>
        <color theme="1"/>
        <rFont val="Aptos Narrow"/>
        <family val="2"/>
        <scheme val="minor"/>
      </rPr>
      <t>FO</t>
    </r>
  </si>
  <si>
    <r>
      <t>Odpracované hodiny podľa:
mzdového listu 
(prípad</t>
    </r>
    <r>
      <rPr>
        <b/>
        <sz val="11"/>
        <color theme="1"/>
        <rFont val="Aptos Narrow"/>
        <family val="2"/>
        <scheme val="minor"/>
      </rPr>
      <t xml:space="preserve"> Z)
</t>
    </r>
    <r>
      <rPr>
        <sz val="11"/>
        <color theme="1"/>
        <rFont val="Aptos Narrow"/>
        <family val="2"/>
        <scheme val="minor"/>
      </rPr>
      <t>zmluvy s dohodnutou ročnou odmenou (prípad</t>
    </r>
    <r>
      <rPr>
        <b/>
        <sz val="11"/>
        <color theme="1"/>
        <rFont val="Aptos Narrow"/>
        <family val="2"/>
        <scheme val="minor"/>
      </rPr>
      <t xml:space="preserve"> FO)</t>
    </r>
  </si>
  <si>
    <t>Vysvetlenie  k jednotlivým hárkom súboru a k vyplneniu rozpočtu malého grantu
do 25.000€ a 12 mesiacov</t>
  </si>
  <si>
    <t>Počet jednotiek</t>
  </si>
  <si>
    <t>Spôsob vykazovanie mzdy/odmeny</t>
  </si>
  <si>
    <t>Do osobných výdavkov patria:
- zamestnanci (Z)
- fyzické osoby (FO) pracujúce na inom základe ako pracovná zmluva s prijímateľom grantu (PP) za splnenia určitých podmienok uvedených v hárku
Tabuľku vyplňte na základe príkladu. Podľa toho, či ide o Z alebo FO, priložte relevantné doklady preukazujúce výpočet hodinovej sadzby. 
V tabuľke sú preddefinované 3 pracovné pozície, podľa potreby pridajte ďalšie.</t>
  </si>
  <si>
    <t>stĺpec F</t>
  </si>
  <si>
    <t>stĺpec G</t>
  </si>
  <si>
    <t>uveďte počet jednotiek</t>
  </si>
  <si>
    <r>
      <t>V prípade, že sa rozhodnete pre grant typu C, vyplnte tento hárok.
V tomto prípade rozpočet obsahuje všetky oprávnené kategórie priamych výdavkov podľa pravidiel:
- osobné výdavky (vyplňte podľa inštrukcií pre typ A)
- ďalšie oprávnené výdavky ( cestovné,  spotrebný materiál, výdavky na vybavenie, služby ....) vyplnte položkovo s uvedením počtu, jednotkovej ceny a súvisu s aktivitami projektu.
Pri položkách spotrebný materiál, výdavky na vybavenie, služby  určite, či ide o rekonštrukciu/renováciu/obnovu nehnuteľností alebo nie.
V tabuľke je automatický výpočet paušálnych výdavkov na nepriame výdavky (réžiu) vo výške  15</t>
    </r>
    <r>
      <rPr>
        <u/>
        <sz val="10"/>
        <rFont val="Arial CE"/>
        <family val="2"/>
        <charset val="238"/>
      </rPr>
      <t xml:space="preserve">% z oprávnených priamych osobných výdavkov. </t>
    </r>
    <r>
      <rPr>
        <sz val="10"/>
        <rFont val="Arial CE"/>
        <family val="2"/>
        <charset val="238"/>
      </rPr>
      <t xml:space="preserve">
</t>
    </r>
  </si>
  <si>
    <r>
      <rPr>
        <u/>
        <sz val="12"/>
        <rFont val="Arial"/>
        <family val="2"/>
        <charset val="238"/>
      </rPr>
      <t>Podfarbené bunky</t>
    </r>
    <r>
      <rPr>
        <sz val="12"/>
        <rFont val="Arial"/>
        <family val="2"/>
        <charset val="238"/>
      </rPr>
      <t xml:space="preserve"> prosíme </t>
    </r>
    <r>
      <rPr>
        <b/>
        <sz val="12"/>
        <rFont val="Arial"/>
        <family val="2"/>
        <charset val="238"/>
      </rPr>
      <t>nevypĺňať</t>
    </r>
    <r>
      <rPr>
        <sz val="12"/>
        <rFont val="Arial"/>
        <family val="2"/>
        <charset val="238"/>
      </rPr>
      <t xml:space="preserve"> - ich hodnoty sú generované automaticky. 
Súbor je  spracovaný v 5-tich hárkoch, ktoré sú automaticky previazané, preto je dôležité, aby ste zvolil správnu postupnosť krokov pri vypĺňaní.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</si>
</sst>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41B]_-;\-* #,##0.00\ [$€-41B]_-;_-* &quot;-&quot;??\ [$€-41B]_-;_-@_-"/>
    <numFmt numFmtId="165" formatCode="_-* #,##0\ [$€-41B]_-;\-* #,##0\ [$€-41B]_-;_-* &quot;-&quot;??\ [$€-41B]_-;_-@_-"/>
  </numFmts>
  <fonts count="33" x14ac:knownFonts="1">
    <font>
      <sz val="11"/>
      <color theme="1"/>
      <name val="Aptos Narrow"/>
      <family val="2"/>
      <charset val="238"/>
      <scheme val="minor"/>
    </font>
    <font>
      <sz val="10"/>
      <name val="Aptos Narrow"/>
      <family val="2"/>
      <charset val="238"/>
      <scheme val="minor"/>
    </font>
    <font>
      <b/>
      <sz val="10"/>
      <name val="Aptos Narrow"/>
      <family val="2"/>
      <charset val="238"/>
      <scheme val="minor"/>
    </font>
    <font>
      <b/>
      <sz val="9"/>
      <name val="Aptos Narrow"/>
      <family val="2"/>
      <scheme val="minor"/>
    </font>
    <font>
      <sz val="10"/>
      <name val="Arial"/>
      <family val="2"/>
      <charset val="238"/>
    </font>
    <font>
      <sz val="8"/>
      <name val="Aptos Narrow"/>
      <family val="2"/>
      <charset val="238"/>
      <scheme val="minor"/>
    </font>
    <font>
      <sz val="9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0"/>
      <name val="Arial CE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sz val="10"/>
      <name val="Arial CE"/>
      <family val="2"/>
      <charset val="238"/>
    </font>
    <font>
      <sz val="11"/>
      <color rgb="FFFF0000"/>
      <name val="Calibri"/>
      <family val="2"/>
      <charset val="238"/>
    </font>
    <font>
      <b/>
      <u/>
      <sz val="10"/>
      <name val="Aptos Narrow"/>
      <family val="2"/>
      <charset val="238"/>
      <scheme val="minor"/>
    </font>
    <font>
      <b/>
      <u/>
      <sz val="9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u/>
      <sz val="11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u/>
      <sz val="12"/>
      <name val="Arial"/>
      <family val="2"/>
      <charset val="238"/>
    </font>
    <font>
      <b/>
      <sz val="11"/>
      <color theme="1"/>
      <name val="Calibri"/>
      <family val="2"/>
      <charset val="238"/>
    </font>
    <font>
      <u/>
      <sz val="10"/>
      <name val="Arial CE"/>
      <family val="2"/>
      <charset val="238"/>
    </font>
    <font>
      <b/>
      <sz val="10"/>
      <name val="Arial CE"/>
      <family val="2"/>
      <charset val="238"/>
    </font>
    <font>
      <b/>
      <sz val="13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DDF2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9" fontId="7" fillId="0" borderId="0" applyFont="0" applyFill="0" applyBorder="0" applyAlignment="0" applyProtection="0"/>
    <xf numFmtId="0" fontId="16" fillId="0" borderId="0"/>
    <xf numFmtId="0" fontId="18" fillId="0" borderId="0"/>
  </cellStyleXfs>
  <cellXfs count="23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/>
    <xf numFmtId="49" fontId="1" fillId="2" borderId="1" xfId="0" applyNumberFormat="1" applyFont="1" applyFill="1" applyBorder="1" applyAlignment="1" applyProtection="1">
      <alignment horizontal="center"/>
      <protection locked="0"/>
    </xf>
    <xf numFmtId="3" fontId="1" fillId="2" borderId="1" xfId="0" applyNumberFormat="1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0" borderId="0" xfId="0" applyAlignment="1">
      <alignment wrapText="1"/>
    </xf>
    <xf numFmtId="0" fontId="8" fillId="0" borderId="0" xfId="0" applyFont="1"/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9" fillId="0" borderId="0" xfId="0" applyFont="1"/>
    <xf numFmtId="0" fontId="5" fillId="2" borderId="1" xfId="0" applyFont="1" applyFill="1" applyBorder="1" applyAlignment="1" applyProtection="1">
      <alignment wrapText="1"/>
      <protection locked="0"/>
    </xf>
    <xf numFmtId="0" fontId="5" fillId="2" borderId="0" xfId="0" applyFont="1" applyFill="1" applyAlignment="1" applyProtection="1">
      <alignment wrapText="1"/>
      <protection locked="0"/>
    </xf>
    <xf numFmtId="49" fontId="1" fillId="2" borderId="0" xfId="0" applyNumberFormat="1" applyFont="1" applyFill="1" applyAlignment="1" applyProtection="1">
      <alignment horizontal="center"/>
      <protection locked="0"/>
    </xf>
    <xf numFmtId="3" fontId="1" fillId="2" borderId="0" xfId="0" applyNumberFormat="1" applyFont="1" applyFill="1" applyAlignment="1" applyProtection="1">
      <alignment horizontal="center"/>
      <protection locked="0"/>
    </xf>
    <xf numFmtId="0" fontId="0" fillId="0" borderId="0" xfId="0" applyAlignment="1">
      <alignment vertical="center"/>
    </xf>
    <xf numFmtId="4" fontId="1" fillId="4" borderId="1" xfId="0" applyNumberFormat="1" applyFont="1" applyFill="1" applyBorder="1" applyAlignment="1">
      <alignment vertical="center"/>
    </xf>
    <xf numFmtId="0" fontId="3" fillId="2" borderId="0" xfId="0" applyFont="1" applyFill="1" applyAlignment="1" applyProtection="1">
      <alignment horizontal="left" vertical="center" wrapText="1"/>
      <protection locked="0"/>
    </xf>
    <xf numFmtId="164" fontId="0" fillId="0" borderId="0" xfId="0" applyNumberFormat="1"/>
    <xf numFmtId="0" fontId="0" fillId="0" borderId="0" xfId="0" applyAlignment="1">
      <alignment vertical="center" wrapText="1"/>
    </xf>
    <xf numFmtId="0" fontId="10" fillId="0" borderId="0" xfId="0" applyFont="1"/>
    <xf numFmtId="0" fontId="11" fillId="0" borderId="0" xfId="0" applyFont="1"/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164" fontId="0" fillId="0" borderId="8" xfId="0" applyNumberFormat="1" applyBorder="1"/>
    <xf numFmtId="0" fontId="0" fillId="0" borderId="2" xfId="0" applyBorder="1"/>
    <xf numFmtId="0" fontId="0" fillId="0" borderId="11" xfId="0" applyBorder="1"/>
    <xf numFmtId="164" fontId="0" fillId="0" borderId="3" xfId="0" applyNumberFormat="1" applyBorder="1"/>
    <xf numFmtId="164" fontId="0" fillId="0" borderId="10" xfId="0" applyNumberFormat="1" applyBorder="1" applyAlignment="1">
      <alignment vertical="center"/>
    </xf>
    <xf numFmtId="0" fontId="12" fillId="0" borderId="3" xfId="0" applyFont="1" applyBorder="1"/>
    <xf numFmtId="0" fontId="0" fillId="0" borderId="1" xfId="0" applyBorder="1" applyAlignment="1">
      <alignment vertical="center"/>
    </xf>
    <xf numFmtId="0" fontId="11" fillId="0" borderId="3" xfId="0" applyFont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0" fillId="0" borderId="12" xfId="0" applyBorder="1" applyAlignment="1">
      <alignment horizontal="center" vertical="center"/>
    </xf>
    <xf numFmtId="164" fontId="10" fillId="0" borderId="1" xfId="0" applyNumberFormat="1" applyFont="1" applyBorder="1" applyAlignment="1">
      <alignment vertical="center"/>
    </xf>
    <xf numFmtId="9" fontId="10" fillId="0" borderId="1" xfId="2" applyFont="1" applyBorder="1" applyAlignment="1">
      <alignment vertical="center"/>
    </xf>
    <xf numFmtId="2" fontId="10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3" fillId="0" borderId="0" xfId="0" applyFont="1"/>
    <xf numFmtId="4" fontId="11" fillId="0" borderId="0" xfId="0" applyNumberFormat="1" applyFont="1"/>
    <xf numFmtId="4" fontId="14" fillId="0" borderId="0" xfId="0" applyNumberFormat="1" applyFont="1"/>
    <xf numFmtId="0" fontId="13" fillId="3" borderId="6" xfId="0" applyFont="1" applyFill="1" applyBorder="1"/>
    <xf numFmtId="0" fontId="0" fillId="3" borderId="4" xfId="0" applyFill="1" applyBorder="1"/>
    <xf numFmtId="4" fontId="14" fillId="3" borderId="5" xfId="0" applyNumberFormat="1" applyFont="1" applyFill="1" applyBorder="1"/>
    <xf numFmtId="0" fontId="0" fillId="0" borderId="2" xfId="0" applyBorder="1" applyAlignment="1">
      <alignment horizontal="center" vertical="center" wrapText="1"/>
    </xf>
    <xf numFmtId="164" fontId="0" fillId="5" borderId="11" xfId="0" applyNumberFormat="1" applyFill="1" applyBorder="1"/>
    <xf numFmtId="164" fontId="0" fillId="6" borderId="8" xfId="0" applyNumberFormat="1" applyFill="1" applyBorder="1" applyAlignment="1">
      <alignment vertical="center"/>
    </xf>
    <xf numFmtId="4" fontId="15" fillId="4" borderId="1" xfId="0" applyNumberFormat="1" applyFon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12" fillId="0" borderId="8" xfId="0" applyFont="1" applyBorder="1"/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vertic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12" fillId="0" borderId="11" xfId="0" applyFont="1" applyBorder="1" applyAlignment="1">
      <alignment horizontal="right" vertical="center"/>
    </xf>
    <xf numFmtId="164" fontId="0" fillId="5" borderId="11" xfId="0" applyNumberFormat="1" applyFill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2" fillId="0" borderId="11" xfId="0" applyFont="1" applyBorder="1" applyAlignment="1">
      <alignment horizontal="right" vertical="center" wrapText="1"/>
    </xf>
    <xf numFmtId="0" fontId="12" fillId="0" borderId="8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164" fontId="0" fillId="0" borderId="0" xfId="0" applyNumberFormat="1" applyAlignment="1">
      <alignment vertical="center"/>
    </xf>
    <xf numFmtId="0" fontId="0" fillId="0" borderId="10" xfId="0" applyBorder="1" applyAlignment="1">
      <alignment vertical="center"/>
    </xf>
    <xf numFmtId="164" fontId="0" fillId="5" borderId="10" xfId="0" applyNumberFormat="1" applyFill="1" applyBorder="1" applyAlignment="1">
      <alignment vertical="center"/>
    </xf>
    <xf numFmtId="0" fontId="3" fillId="2" borderId="4" xfId="0" applyFont="1" applyFill="1" applyBorder="1" applyAlignment="1" applyProtection="1">
      <alignment horizontal="left" wrapText="1"/>
      <protection locked="0"/>
    </xf>
    <xf numFmtId="0" fontId="3" fillId="2" borderId="5" xfId="0" applyFont="1" applyFill="1" applyBorder="1" applyAlignment="1" applyProtection="1">
      <alignment horizontal="left" vertical="center" wrapText="1"/>
      <protection locked="0"/>
    </xf>
    <xf numFmtId="0" fontId="5" fillId="2" borderId="4" xfId="0" applyFont="1" applyFill="1" applyBorder="1" applyAlignment="1" applyProtection="1">
      <alignment horizontal="left" wrapText="1"/>
      <protection locked="0"/>
    </xf>
    <xf numFmtId="0" fontId="17" fillId="0" borderId="16" xfId="3" applyFont="1" applyBorder="1" applyAlignment="1">
      <alignment horizontal="center" wrapText="1"/>
    </xf>
    <xf numFmtId="0" fontId="16" fillId="0" borderId="3" xfId="3" applyBorder="1"/>
    <xf numFmtId="165" fontId="16" fillId="0" borderId="3" xfId="3" applyNumberFormat="1" applyBorder="1"/>
    <xf numFmtId="0" fontId="0" fillId="0" borderId="3" xfId="0" applyBorder="1"/>
    <xf numFmtId="0" fontId="16" fillId="0" borderId="1" xfId="3" applyBorder="1"/>
    <xf numFmtId="165" fontId="16" fillId="0" borderId="1" xfId="3" applyNumberFormat="1" applyBorder="1"/>
    <xf numFmtId="0" fontId="0" fillId="0" borderId="1" xfId="0" applyBorder="1"/>
    <xf numFmtId="0" fontId="16" fillId="0" borderId="0" xfId="3"/>
    <xf numFmtId="0" fontId="17" fillId="0" borderId="16" xfId="3" applyFont="1" applyBorder="1"/>
    <xf numFmtId="0" fontId="17" fillId="0" borderId="16" xfId="3" applyFont="1" applyBorder="1" applyAlignment="1">
      <alignment vertical="center"/>
    </xf>
    <xf numFmtId="0" fontId="16" fillId="0" borderId="16" xfId="3" applyBorder="1" applyAlignment="1">
      <alignment vertical="center" wrapText="1"/>
    </xf>
    <xf numFmtId="0" fontId="18" fillId="0" borderId="0" xfId="4"/>
    <xf numFmtId="0" fontId="18" fillId="7" borderId="23" xfId="4" applyFill="1" applyBorder="1" applyAlignment="1">
      <alignment horizontal="center" vertical="center" wrapText="1"/>
    </xf>
    <xf numFmtId="0" fontId="18" fillId="0" borderId="24" xfId="4" applyBorder="1" applyAlignment="1">
      <alignment vertical="center" wrapText="1"/>
    </xf>
    <xf numFmtId="0" fontId="18" fillId="0" borderId="23" xfId="4" applyBorder="1" applyAlignment="1">
      <alignment horizontal="center" vertical="center" wrapText="1"/>
    </xf>
    <xf numFmtId="0" fontId="20" fillId="0" borderId="22" xfId="4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1" fillId="0" borderId="23" xfId="4" applyFont="1" applyBorder="1" applyAlignment="1">
      <alignment horizontal="center" vertical="center" wrapText="1"/>
    </xf>
    <xf numFmtId="0" fontId="22" fillId="0" borderId="0" xfId="3" applyFont="1"/>
    <xf numFmtId="0" fontId="1" fillId="2" borderId="0" xfId="0" applyFont="1" applyFill="1" applyAlignment="1">
      <alignment wrapText="1"/>
    </xf>
    <xf numFmtId="0" fontId="5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2" borderId="3" xfId="0" applyNumberFormat="1" applyFont="1" applyFill="1" applyBorder="1" applyAlignment="1" applyProtection="1">
      <alignment vertical="center"/>
      <protection locked="0"/>
    </xf>
    <xf numFmtId="4" fontId="1" fillId="2" borderId="1" xfId="0" applyNumberFormat="1" applyFont="1" applyFill="1" applyBorder="1" applyAlignment="1" applyProtection="1">
      <alignment vertical="center"/>
      <protection locked="0"/>
    </xf>
    <xf numFmtId="0" fontId="1" fillId="0" borderId="3" xfId="0" applyFont="1" applyBorder="1" applyAlignment="1">
      <alignment wrapText="1"/>
    </xf>
    <xf numFmtId="49" fontId="1" fillId="2" borderId="1" xfId="0" applyNumberFormat="1" applyFont="1" applyFill="1" applyBorder="1" applyAlignment="1" applyProtection="1">
      <alignment vertical="center"/>
      <protection locked="0"/>
    </xf>
    <xf numFmtId="3" fontId="1" fillId="2" borderId="1" xfId="0" applyNumberFormat="1" applyFont="1" applyFill="1" applyBorder="1" applyAlignment="1" applyProtection="1">
      <alignment vertical="center"/>
      <protection locked="0"/>
    </xf>
    <xf numFmtId="4" fontId="1" fillId="2" borderId="11" xfId="0" applyNumberFormat="1" applyFont="1" applyFill="1" applyBorder="1" applyAlignment="1" applyProtection="1">
      <alignment vertical="center"/>
      <protection locked="0"/>
    </xf>
    <xf numFmtId="49" fontId="1" fillId="2" borderId="11" xfId="0" applyNumberFormat="1" applyFont="1" applyFill="1" applyBorder="1" applyAlignment="1" applyProtection="1">
      <alignment vertical="center" wrapText="1"/>
      <protection locked="0"/>
    </xf>
    <xf numFmtId="0" fontId="6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vertical="center"/>
    </xf>
    <xf numFmtId="4" fontId="1" fillId="8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 applyProtection="1">
      <alignment vertical="center" wrapText="1"/>
      <protection locked="0"/>
    </xf>
    <xf numFmtId="4" fontId="26" fillId="0" borderId="0" xfId="0" applyNumberFormat="1" applyFont="1"/>
    <xf numFmtId="4" fontId="8" fillId="0" borderId="0" xfId="0" applyNumberFormat="1" applyFont="1"/>
    <xf numFmtId="0" fontId="27" fillId="0" borderId="0" xfId="0" applyFont="1"/>
    <xf numFmtId="0" fontId="27" fillId="3" borderId="6" xfId="0" applyFont="1" applyFill="1" applyBorder="1"/>
    <xf numFmtId="4" fontId="26" fillId="3" borderId="5" xfId="0" applyNumberFormat="1" applyFont="1" applyFill="1" applyBorder="1"/>
    <xf numFmtId="0" fontId="21" fillId="0" borderId="24" xfId="4" applyFont="1" applyBorder="1" applyAlignment="1">
      <alignment vertical="center" wrapText="1"/>
    </xf>
    <xf numFmtId="0" fontId="21" fillId="0" borderId="23" xfId="4" applyFont="1" applyBorder="1" applyAlignment="1">
      <alignment horizontal="center" vertical="center"/>
    </xf>
    <xf numFmtId="0" fontId="19" fillId="8" borderId="19" xfId="4" applyFont="1" applyFill="1" applyBorder="1" applyAlignment="1">
      <alignment horizontal="center" vertical="center" wrapText="1"/>
    </xf>
    <xf numFmtId="0" fontId="19" fillId="8" borderId="20" xfId="4" applyFont="1" applyFill="1" applyBorder="1" applyAlignment="1">
      <alignment horizontal="center" vertical="center" wrapText="1"/>
    </xf>
    <xf numFmtId="0" fontId="19" fillId="8" borderId="21" xfId="4" applyFont="1" applyFill="1" applyBorder="1" applyAlignment="1">
      <alignment vertical="center" wrapText="1"/>
    </xf>
    <xf numFmtId="0" fontId="21" fillId="8" borderId="23" xfId="4" applyFont="1" applyFill="1" applyBorder="1" applyAlignment="1">
      <alignment horizontal="center" vertical="center" wrapText="1"/>
    </xf>
    <xf numFmtId="0" fontId="21" fillId="0" borderId="22" xfId="4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64" fontId="0" fillId="0" borderId="11" xfId="0" applyNumberFormat="1" applyBorder="1" applyAlignment="1">
      <alignment vertical="center"/>
    </xf>
    <xf numFmtId="164" fontId="0" fillId="9" borderId="10" xfId="0" applyNumberFormat="1" applyFill="1" applyBorder="1" applyAlignment="1">
      <alignment vertical="center"/>
    </xf>
    <xf numFmtId="164" fontId="0" fillId="5" borderId="7" xfId="0" applyNumberFormat="1" applyFill="1" applyBorder="1" applyAlignment="1">
      <alignment horizontal="center"/>
    </xf>
    <xf numFmtId="164" fontId="0" fillId="5" borderId="8" xfId="0" applyNumberFormat="1" applyFill="1" applyBorder="1"/>
    <xf numFmtId="164" fontId="13" fillId="0" borderId="3" xfId="0" applyNumberFormat="1" applyFont="1" applyBorder="1" applyAlignment="1">
      <alignment vertical="center"/>
    </xf>
    <xf numFmtId="164" fontId="32" fillId="5" borderId="8" xfId="0" applyNumberFormat="1" applyFont="1" applyFill="1" applyBorder="1" applyAlignment="1">
      <alignment vertical="center"/>
    </xf>
    <xf numFmtId="0" fontId="18" fillId="0" borderId="22" xfId="4" applyBorder="1" applyAlignment="1">
      <alignment vertical="center" wrapText="1"/>
    </xf>
    <xf numFmtId="0" fontId="18" fillId="0" borderId="23" xfId="4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7" fillId="0" borderId="9" xfId="3" applyFont="1" applyBorder="1" applyAlignment="1">
      <alignment horizontal="center"/>
    </xf>
    <xf numFmtId="0" fontId="17" fillId="0" borderId="0" xfId="3" applyFont="1" applyAlignment="1">
      <alignment horizontal="center"/>
    </xf>
    <xf numFmtId="0" fontId="16" fillId="0" borderId="1" xfId="3" applyBorder="1" applyAlignment="1">
      <alignment horizontal="center"/>
    </xf>
    <xf numFmtId="0" fontId="17" fillId="0" borderId="1" xfId="3" applyFont="1" applyBorder="1" applyAlignment="1">
      <alignment horizontal="center" vertical="center" wrapText="1"/>
    </xf>
    <xf numFmtId="0" fontId="17" fillId="0" borderId="16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wrapText="1"/>
    </xf>
    <xf numFmtId="0" fontId="17" fillId="0" borderId="1" xfId="3" applyFont="1" applyBorder="1" applyAlignment="1">
      <alignment horizontal="center"/>
    </xf>
    <xf numFmtId="0" fontId="16" fillId="0" borderId="17" xfId="3" applyBorder="1" applyAlignment="1">
      <alignment horizontal="center" wrapText="1"/>
    </xf>
    <xf numFmtId="0" fontId="16" fillId="0" borderId="18" xfId="3" applyBorder="1" applyAlignment="1">
      <alignment horizontal="center" wrapText="1"/>
    </xf>
    <xf numFmtId="0" fontId="16" fillId="0" borderId="12" xfId="3" applyBorder="1" applyAlignment="1">
      <alignment horizontal="center" wrapText="1"/>
    </xf>
    <xf numFmtId="0" fontId="16" fillId="0" borderId="8" xfId="3" applyBorder="1" applyAlignment="1">
      <alignment horizontal="center" wrapText="1"/>
    </xf>
    <xf numFmtId="164" fontId="0" fillId="5" borderId="10" xfId="0" applyNumberFormat="1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 wrapText="1"/>
    </xf>
    <xf numFmtId="4" fontId="1" fillId="0" borderId="11" xfId="0" applyNumberFormat="1" applyFont="1" applyBorder="1" applyAlignment="1">
      <alignment horizontal="center" vertical="center" wrapText="1"/>
    </xf>
    <xf numFmtId="0" fontId="25" fillId="2" borderId="6" xfId="0" applyFont="1" applyFill="1" applyBorder="1" applyAlignment="1" applyProtection="1">
      <alignment horizontal="left" wrapText="1"/>
      <protection locked="0"/>
    </xf>
    <xf numFmtId="0" fontId="25" fillId="2" borderId="4" xfId="0" applyFont="1" applyFill="1" applyBorder="1" applyAlignment="1" applyProtection="1">
      <alignment horizontal="left" wrapText="1"/>
      <protection locked="0"/>
    </xf>
    <xf numFmtId="0" fontId="0" fillId="0" borderId="0" xfId="0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2" borderId="2" xfId="0" applyFont="1" applyFill="1" applyBorder="1" applyAlignment="1" applyProtection="1">
      <alignment horizontal="left" vertical="center" wrapText="1"/>
      <protection locked="0"/>
    </xf>
    <xf numFmtId="0" fontId="5" fillId="2" borderId="11" xfId="0" applyFont="1" applyFill="1" applyBorder="1" applyAlignment="1" applyProtection="1">
      <alignment horizontal="left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11" xfId="0" applyFont="1" applyFill="1" applyBorder="1" applyAlignment="1" applyProtection="1">
      <alignment horizontal="center" vertical="center" wrapText="1"/>
      <protection locked="0"/>
    </xf>
    <xf numFmtId="0" fontId="5" fillId="2" borderId="15" xfId="0" applyFont="1" applyFill="1" applyBorder="1" applyAlignment="1" applyProtection="1">
      <alignment horizontal="center" vertical="center" wrapText="1"/>
      <protection locked="0"/>
    </xf>
    <xf numFmtId="0" fontId="24" fillId="2" borderId="6" xfId="0" applyFont="1" applyFill="1" applyBorder="1" applyAlignment="1" applyProtection="1">
      <alignment horizontal="left" vertical="center" wrapText="1"/>
      <protection locked="0"/>
    </xf>
    <xf numFmtId="0" fontId="24" fillId="2" borderId="4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1" fillId="2" borderId="6" xfId="0" applyFont="1" applyFill="1" applyBorder="1" applyAlignment="1" applyProtection="1">
      <alignment horizontal="left" vertical="center" wrapText="1"/>
      <protection locked="0"/>
    </xf>
    <xf numFmtId="0" fontId="1" fillId="2" borderId="4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4" fontId="1" fillId="0" borderId="6" xfId="0" applyNumberFormat="1" applyFont="1" applyBorder="1" applyAlignment="1">
      <alignment horizontal="center"/>
    </xf>
    <xf numFmtId="4" fontId="1" fillId="0" borderId="5" xfId="0" applyNumberFormat="1" applyFont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5" fillId="2" borderId="6" xfId="0" applyFont="1" applyFill="1" applyBorder="1" applyAlignment="1" applyProtection="1">
      <alignment horizontal="left" wrapText="1"/>
      <protection locked="0"/>
    </xf>
    <xf numFmtId="0" fontId="5" fillId="2" borderId="5" xfId="0" applyFont="1" applyFill="1" applyBorder="1" applyAlignment="1" applyProtection="1">
      <alignment horizontal="left" wrapText="1"/>
      <protection locked="0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5" fillId="2" borderId="6" xfId="0" applyFont="1" applyFill="1" applyBorder="1" applyAlignment="1" applyProtection="1">
      <alignment horizontal="center" wrapText="1"/>
      <protection locked="0"/>
    </xf>
    <xf numFmtId="0" fontId="5" fillId="2" borderId="4" xfId="0" applyFont="1" applyFill="1" applyBorder="1" applyAlignment="1" applyProtection="1">
      <alignment horizontal="center" wrapText="1"/>
      <protection locked="0"/>
    </xf>
    <xf numFmtId="0" fontId="5" fillId="2" borderId="5" xfId="0" applyFont="1" applyFill="1" applyBorder="1" applyAlignment="1" applyProtection="1">
      <alignment horizontal="center" wrapText="1"/>
      <protection locked="0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8" fillId="0" borderId="1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0" fillId="0" borderId="22" xfId="4" applyFont="1" applyFill="1" applyBorder="1" applyAlignment="1">
      <alignment horizontal="center" vertical="center" wrapText="1"/>
    </xf>
  </cellXfs>
  <cellStyles count="5">
    <cellStyle name="Normálna" xfId="0" builtinId="0"/>
    <cellStyle name="Normálna 2" xfId="3" xr:uid="{B497B46F-448B-44A2-9354-7ED1FBD56F56}"/>
    <cellStyle name="Normálna 3" xfId="4" xr:uid="{757E0C00-3DB9-47C5-BD77-0C09C6C4DA16}"/>
    <cellStyle name="normálne_Rozpocet_podprojekt" xfId="1" xr:uid="{CA7687B2-2D56-4A49-9795-872B6A8FF25F}"/>
    <cellStyle name="Percentá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14A4-767E-4AB6-A1A3-18C1AA003F91}">
  <dimension ref="B1:L12"/>
  <sheetViews>
    <sheetView workbookViewId="0">
      <selection activeCell="I8" sqref="I8"/>
    </sheetView>
  </sheetViews>
  <sheetFormatPr defaultRowHeight="14.4" x14ac:dyDescent="0.3"/>
  <cols>
    <col min="2" max="2" width="36.109375" customWidth="1"/>
    <col min="3" max="3" width="16.6640625" hidden="1" customWidth="1"/>
    <col min="4" max="4" width="17.6640625" customWidth="1"/>
    <col min="5" max="5" width="29.109375" customWidth="1"/>
    <col min="6" max="6" width="13" customWidth="1"/>
    <col min="7" max="7" width="28.6640625" customWidth="1"/>
    <col min="8" max="8" width="24.5546875" customWidth="1"/>
    <col min="9" max="9" width="16.44140625" customWidth="1"/>
    <col min="10" max="10" width="22.33203125" customWidth="1"/>
    <col min="11" max="11" width="25" customWidth="1"/>
    <col min="12" max="12" width="18.88671875" customWidth="1"/>
    <col min="13" max="13" width="11.5546875" bestFit="1" customWidth="1"/>
  </cols>
  <sheetData>
    <row r="1" spans="2:12" ht="15.6" x14ac:dyDescent="0.3">
      <c r="B1" s="146" t="s">
        <v>75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</row>
    <row r="3" spans="2:12" ht="108.6" customHeight="1" x14ac:dyDescent="0.3">
      <c r="B3" s="47" t="s">
        <v>33</v>
      </c>
      <c r="C3" s="27" t="s">
        <v>48</v>
      </c>
      <c r="D3" s="147" t="s">
        <v>38</v>
      </c>
      <c r="E3" s="148"/>
      <c r="F3" s="149"/>
      <c r="G3" s="147" t="s">
        <v>80</v>
      </c>
      <c r="H3" s="150"/>
      <c r="I3" s="149"/>
      <c r="J3" s="147" t="s">
        <v>49</v>
      </c>
      <c r="K3" s="150"/>
      <c r="L3" s="149"/>
    </row>
    <row r="4" spans="2:12" ht="24" customHeight="1" x14ac:dyDescent="0.3">
      <c r="B4" s="33" t="s">
        <v>35</v>
      </c>
      <c r="C4" s="69"/>
      <c r="D4" s="29"/>
      <c r="E4" s="70" t="s">
        <v>52</v>
      </c>
      <c r="F4" s="68" t="s">
        <v>3</v>
      </c>
      <c r="G4" s="32" t="s">
        <v>35</v>
      </c>
      <c r="H4" s="68" t="s">
        <v>52</v>
      </c>
      <c r="I4" s="68"/>
      <c r="J4" s="32" t="s">
        <v>35</v>
      </c>
      <c r="K4" s="72" t="s">
        <v>52</v>
      </c>
      <c r="L4" s="68" t="s">
        <v>3</v>
      </c>
    </row>
    <row r="5" spans="2:12" s="20" customFormat="1" ht="114.6" customHeight="1" x14ac:dyDescent="0.3">
      <c r="B5" s="74" t="s">
        <v>15</v>
      </c>
      <c r="C5" s="75">
        <v>12500</v>
      </c>
      <c r="D5" s="30" t="s">
        <v>15</v>
      </c>
      <c r="E5" s="76" t="s">
        <v>77</v>
      </c>
      <c r="F5" s="35">
        <v>12500</v>
      </c>
      <c r="G5" s="74" t="s">
        <v>15</v>
      </c>
      <c r="H5" s="77" t="s">
        <v>77</v>
      </c>
      <c r="I5" s="35">
        <v>5000</v>
      </c>
      <c r="J5" s="74" t="s">
        <v>15</v>
      </c>
      <c r="K5" s="77" t="s">
        <v>77</v>
      </c>
      <c r="L5" s="35">
        <v>5000</v>
      </c>
    </row>
    <row r="6" spans="2:12" ht="93.6" customHeight="1" x14ac:dyDescent="0.3">
      <c r="B6" s="78" t="s">
        <v>76</v>
      </c>
      <c r="C6" s="62">
        <f>C5*1</f>
        <v>12500</v>
      </c>
      <c r="D6" s="151" t="s">
        <v>51</v>
      </c>
      <c r="E6" s="153" t="s">
        <v>70</v>
      </c>
      <c r="F6" s="155">
        <f>F5*1</f>
        <v>12500</v>
      </c>
      <c r="G6" s="78" t="s">
        <v>76</v>
      </c>
      <c r="H6" s="67" t="s">
        <v>69</v>
      </c>
      <c r="I6" s="35">
        <v>18000</v>
      </c>
      <c r="J6" s="78" t="s">
        <v>76</v>
      </c>
      <c r="K6" s="67" t="s">
        <v>69</v>
      </c>
      <c r="L6" s="35">
        <v>18000</v>
      </c>
    </row>
    <row r="7" spans="2:12" ht="25.2" customHeight="1" x14ac:dyDescent="0.3">
      <c r="B7" s="36" t="s">
        <v>36</v>
      </c>
      <c r="C7" s="34" t="s">
        <v>37</v>
      </c>
      <c r="D7" s="152"/>
      <c r="E7" s="154"/>
      <c r="F7" s="156"/>
      <c r="G7" s="36" t="s">
        <v>36</v>
      </c>
      <c r="H7" s="79" t="s">
        <v>70</v>
      </c>
      <c r="I7" s="31">
        <f>(I5+I6)*0.07</f>
        <v>1610.0000000000002</v>
      </c>
      <c r="J7" s="36" t="s">
        <v>36</v>
      </c>
      <c r="K7" s="80" t="s">
        <v>70</v>
      </c>
      <c r="L7" s="31">
        <f>L5*0.15</f>
        <v>750</v>
      </c>
    </row>
    <row r="8" spans="2:12" s="20" customFormat="1" ht="25.2" customHeight="1" x14ac:dyDescent="0.3">
      <c r="B8" s="38" t="s">
        <v>34</v>
      </c>
      <c r="C8" s="39">
        <f>SUM(C5:C7)</f>
        <v>25000</v>
      </c>
      <c r="D8" s="40" t="s">
        <v>34</v>
      </c>
      <c r="E8" s="65"/>
      <c r="F8" s="63">
        <f>SUM(F5:F7)</f>
        <v>25000</v>
      </c>
      <c r="G8" s="144" t="s">
        <v>34</v>
      </c>
      <c r="H8" s="145"/>
      <c r="I8" s="63">
        <f>SUM(I5:I7)</f>
        <v>24610</v>
      </c>
      <c r="J8" s="144" t="s">
        <v>34</v>
      </c>
      <c r="K8" s="145"/>
      <c r="L8" s="63">
        <f>SUM(L5:L7)</f>
        <v>23750</v>
      </c>
    </row>
    <row r="12" spans="2:12" x14ac:dyDescent="0.3">
      <c r="C12" s="23"/>
    </row>
  </sheetData>
  <mergeCells count="9">
    <mergeCell ref="G8:H8"/>
    <mergeCell ref="J8:K8"/>
    <mergeCell ref="B1:L1"/>
    <mergeCell ref="D3:F3"/>
    <mergeCell ref="G3:I3"/>
    <mergeCell ref="J3:L3"/>
    <mergeCell ref="D6:D7"/>
    <mergeCell ref="E6:E7"/>
    <mergeCell ref="F6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3643-4163-47CF-9762-86ABA1E3B540}">
  <sheetPr>
    <tabColor rgb="FFFFFF00"/>
  </sheetPr>
  <dimension ref="A1:B30"/>
  <sheetViews>
    <sheetView tabSelected="1" zoomScale="98" zoomScaleNormal="98" workbookViewId="0">
      <selection activeCell="E4" sqref="E4"/>
    </sheetView>
  </sheetViews>
  <sheetFormatPr defaultColWidth="8.88671875" defaultRowHeight="13.2" x14ac:dyDescent="0.25"/>
  <cols>
    <col min="1" max="1" width="23.6640625" style="98" customWidth="1"/>
    <col min="2" max="2" width="110" style="98" customWidth="1"/>
    <col min="3" max="16384" width="8.88671875" style="98"/>
  </cols>
  <sheetData>
    <row r="1" spans="1:2" ht="13.8" thickBot="1" x14ac:dyDescent="0.3"/>
    <row r="2" spans="1:2" ht="50.25" customHeight="1" x14ac:dyDescent="0.25">
      <c r="A2" s="129" t="s">
        <v>125</v>
      </c>
      <c r="B2" s="130" t="s">
        <v>203</v>
      </c>
    </row>
    <row r="3" spans="1:2" ht="45.6" x14ac:dyDescent="0.25">
      <c r="A3" s="131"/>
      <c r="B3" s="238" t="s">
        <v>211</v>
      </c>
    </row>
    <row r="4" spans="1:2" ht="51" customHeight="1" x14ac:dyDescent="0.25">
      <c r="A4" s="132" t="s">
        <v>160</v>
      </c>
      <c r="B4" s="127" t="s">
        <v>163</v>
      </c>
    </row>
    <row r="5" spans="1:2" ht="15" hidden="1" x14ac:dyDescent="0.25">
      <c r="A5" s="105" t="s">
        <v>126</v>
      </c>
      <c r="B5" s="102" t="s">
        <v>110</v>
      </c>
    </row>
    <row r="6" spans="1:2" ht="33" hidden="1" customHeight="1" x14ac:dyDescent="0.25">
      <c r="A6" s="105" t="s">
        <v>148</v>
      </c>
      <c r="B6" s="127" t="s">
        <v>149</v>
      </c>
    </row>
    <row r="7" spans="1:2" ht="33" hidden="1" customHeight="1" x14ac:dyDescent="0.25">
      <c r="A7" s="101" t="s">
        <v>111</v>
      </c>
      <c r="B7" s="100" t="s">
        <v>112</v>
      </c>
    </row>
    <row r="8" spans="1:2" ht="33" hidden="1" customHeight="1" x14ac:dyDescent="0.25">
      <c r="A8" s="101" t="s">
        <v>113</v>
      </c>
      <c r="B8" s="100" t="s">
        <v>114</v>
      </c>
    </row>
    <row r="9" spans="1:2" ht="33" hidden="1" customHeight="1" x14ac:dyDescent="0.25">
      <c r="A9" s="101" t="s">
        <v>115</v>
      </c>
      <c r="B9" s="100" t="s">
        <v>116</v>
      </c>
    </row>
    <row r="10" spans="1:2" ht="33" hidden="1" customHeight="1" x14ac:dyDescent="0.25">
      <c r="A10" s="101" t="s">
        <v>117</v>
      </c>
      <c r="B10" s="100" t="s">
        <v>118</v>
      </c>
    </row>
    <row r="11" spans="1:2" ht="39" hidden="1" customHeight="1" x14ac:dyDescent="0.25">
      <c r="A11" s="99" t="s">
        <v>119</v>
      </c>
      <c r="B11" s="100"/>
    </row>
    <row r="12" spans="1:2" ht="15" x14ac:dyDescent="0.25">
      <c r="A12" s="101"/>
      <c r="B12" s="102" t="s">
        <v>151</v>
      </c>
    </row>
    <row r="13" spans="1:2" ht="52.5" customHeight="1" x14ac:dyDescent="0.25">
      <c r="A13" s="132" t="s">
        <v>161</v>
      </c>
      <c r="B13" s="127" t="s">
        <v>164</v>
      </c>
    </row>
    <row r="14" spans="1:2" ht="35.25" customHeight="1" x14ac:dyDescent="0.25">
      <c r="A14" s="128" t="s">
        <v>157</v>
      </c>
      <c r="B14" s="127" t="s">
        <v>162</v>
      </c>
    </row>
    <row r="15" spans="1:2" ht="55.2" customHeight="1" x14ac:dyDescent="0.25">
      <c r="A15" s="128" t="s">
        <v>150</v>
      </c>
      <c r="B15" s="127" t="s">
        <v>198</v>
      </c>
    </row>
    <row r="16" spans="1:2" ht="104.4" customHeight="1" x14ac:dyDescent="0.25">
      <c r="A16" s="132" t="s">
        <v>166</v>
      </c>
      <c r="B16" s="142" t="s">
        <v>206</v>
      </c>
    </row>
    <row r="17" spans="1:2" ht="18" customHeight="1" x14ac:dyDescent="0.25">
      <c r="A17" s="101"/>
      <c r="B17" s="102" t="s">
        <v>151</v>
      </c>
    </row>
    <row r="18" spans="1:2" ht="78" customHeight="1" x14ac:dyDescent="0.25">
      <c r="A18" s="132" t="s">
        <v>176</v>
      </c>
      <c r="B18" s="127"/>
    </row>
    <row r="19" spans="1:2" ht="54.75" customHeight="1" x14ac:dyDescent="0.25">
      <c r="A19" s="105" t="s">
        <v>189</v>
      </c>
      <c r="B19" s="127" t="s">
        <v>165</v>
      </c>
    </row>
    <row r="20" spans="1:2" ht="54.75" customHeight="1" x14ac:dyDescent="0.25">
      <c r="A20" s="128" t="s">
        <v>177</v>
      </c>
      <c r="B20" s="127" t="s">
        <v>178</v>
      </c>
    </row>
    <row r="21" spans="1:2" ht="77.400000000000006" customHeight="1" x14ac:dyDescent="0.25">
      <c r="A21" s="128" t="s">
        <v>179</v>
      </c>
      <c r="B21" s="127" t="s">
        <v>180</v>
      </c>
    </row>
    <row r="22" spans="1:2" x14ac:dyDescent="0.25">
      <c r="A22" s="143" t="s">
        <v>207</v>
      </c>
      <c r="B22" s="127" t="s">
        <v>181</v>
      </c>
    </row>
    <row r="23" spans="1:2" x14ac:dyDescent="0.25">
      <c r="A23" s="143" t="s">
        <v>208</v>
      </c>
      <c r="B23" s="100" t="s">
        <v>209</v>
      </c>
    </row>
    <row r="24" spans="1:2" ht="39.6" x14ac:dyDescent="0.25">
      <c r="A24" s="128" t="s">
        <v>182</v>
      </c>
      <c r="B24" s="127" t="s">
        <v>183</v>
      </c>
    </row>
    <row r="25" spans="1:2" x14ac:dyDescent="0.25">
      <c r="A25" s="128" t="s">
        <v>184</v>
      </c>
      <c r="B25" s="127" t="s">
        <v>199</v>
      </c>
    </row>
    <row r="26" spans="1:2" ht="44.25" customHeight="1" x14ac:dyDescent="0.25">
      <c r="A26" s="128" t="s">
        <v>185</v>
      </c>
      <c r="B26" s="127" t="s">
        <v>186</v>
      </c>
    </row>
    <row r="27" spans="1:2" ht="44.25" customHeight="1" x14ac:dyDescent="0.25">
      <c r="A27" s="128" t="s">
        <v>187</v>
      </c>
      <c r="B27" s="133" t="s">
        <v>188</v>
      </c>
    </row>
    <row r="28" spans="1:2" ht="15" x14ac:dyDescent="0.25">
      <c r="A28" s="101"/>
      <c r="B28" s="102" t="s">
        <v>151</v>
      </c>
    </row>
    <row r="29" spans="1:2" ht="139.94999999999999" customHeight="1" x14ac:dyDescent="0.25">
      <c r="A29" s="105" t="s">
        <v>190</v>
      </c>
      <c r="B29" s="127" t="s">
        <v>200</v>
      </c>
    </row>
    <row r="30" spans="1:2" ht="139.19999999999999" customHeight="1" x14ac:dyDescent="0.25">
      <c r="A30" s="105" t="s">
        <v>191</v>
      </c>
      <c r="B30" s="100" t="s">
        <v>210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1EA6-3897-4675-9D11-187E60C2B176}">
  <dimension ref="A1:E22"/>
  <sheetViews>
    <sheetView topLeftCell="A5" zoomScale="91" zoomScaleNormal="91" workbookViewId="0">
      <selection activeCell="C19" sqref="C19:D19"/>
    </sheetView>
  </sheetViews>
  <sheetFormatPr defaultRowHeight="14.4" x14ac:dyDescent="0.3"/>
  <cols>
    <col min="1" max="1" width="47.33203125" bestFit="1" customWidth="1"/>
    <col min="2" max="2" width="22.6640625" customWidth="1"/>
    <col min="3" max="3" width="19.109375" customWidth="1"/>
    <col min="4" max="4" width="17.88671875" customWidth="1"/>
    <col min="5" max="5" width="20.33203125" customWidth="1"/>
  </cols>
  <sheetData>
    <row r="1" spans="1:5" x14ac:dyDescent="0.3">
      <c r="A1" s="157" t="s">
        <v>102</v>
      </c>
      <c r="B1" s="157"/>
      <c r="C1" s="157"/>
      <c r="D1" s="157"/>
      <c r="E1" s="157"/>
    </row>
    <row r="3" spans="1:5" ht="55.95" customHeight="1" x14ac:dyDescent="0.3">
      <c r="A3" s="161" t="s">
        <v>83</v>
      </c>
      <c r="B3" s="163" t="s">
        <v>84</v>
      </c>
      <c r="C3" s="163"/>
      <c r="D3" s="163" t="s">
        <v>85</v>
      </c>
      <c r="E3" s="163"/>
    </row>
    <row r="4" spans="1:5" ht="36" customHeight="1" thickBot="1" x14ac:dyDescent="0.35">
      <c r="A4" s="162"/>
      <c r="B4" s="87" t="s">
        <v>86</v>
      </c>
      <c r="C4" s="87" t="s">
        <v>87</v>
      </c>
      <c r="D4" s="87" t="s">
        <v>86</v>
      </c>
      <c r="E4" s="87" t="s">
        <v>88</v>
      </c>
    </row>
    <row r="5" spans="1:5" ht="29.4" customHeight="1" thickTop="1" x14ac:dyDescent="0.3">
      <c r="A5" s="88" t="s">
        <v>99</v>
      </c>
      <c r="B5" s="89">
        <v>0</v>
      </c>
      <c r="C5" s="89">
        <v>25000</v>
      </c>
      <c r="D5" s="165" t="s">
        <v>120</v>
      </c>
      <c r="E5" s="166"/>
    </row>
    <row r="6" spans="1:5" ht="30" customHeight="1" x14ac:dyDescent="0.3">
      <c r="A6" s="91" t="s">
        <v>97</v>
      </c>
      <c r="B6" s="92">
        <v>50000</v>
      </c>
      <c r="C6" s="92">
        <v>70000</v>
      </c>
      <c r="D6" s="92">
        <v>50000</v>
      </c>
      <c r="E6" s="92">
        <v>80000</v>
      </c>
    </row>
    <row r="7" spans="1:5" ht="29.4" customHeight="1" x14ac:dyDescent="0.3">
      <c r="A7" s="91" t="s">
        <v>98</v>
      </c>
      <c r="B7" s="92">
        <v>100000</v>
      </c>
      <c r="C7" s="92">
        <v>120000</v>
      </c>
      <c r="D7" s="167" t="s">
        <v>120</v>
      </c>
      <c r="E7" s="168"/>
    </row>
    <row r="8" spans="1:5" x14ac:dyDescent="0.3">
      <c r="A8" s="94"/>
      <c r="B8" s="94"/>
      <c r="C8" s="94"/>
      <c r="D8" s="94"/>
    </row>
    <row r="9" spans="1:5" ht="24" customHeight="1" x14ac:dyDescent="0.3">
      <c r="A9" s="164" t="s">
        <v>89</v>
      </c>
      <c r="B9" s="164"/>
      <c r="C9" s="164"/>
      <c r="D9" s="94"/>
    </row>
    <row r="10" spans="1:5" ht="24.6" customHeight="1" thickBot="1" x14ac:dyDescent="0.35">
      <c r="A10" s="95" t="s">
        <v>90</v>
      </c>
      <c r="B10" s="95" t="s">
        <v>91</v>
      </c>
      <c r="C10" s="95" t="s">
        <v>88</v>
      </c>
      <c r="D10" s="94"/>
    </row>
    <row r="11" spans="1:5" ht="24.6" customHeight="1" thickTop="1" x14ac:dyDescent="0.3">
      <c r="A11" s="88" t="s">
        <v>96</v>
      </c>
      <c r="B11" s="88" t="s">
        <v>92</v>
      </c>
      <c r="C11" s="88" t="s">
        <v>93</v>
      </c>
      <c r="D11" s="94"/>
    </row>
    <row r="12" spans="1:5" ht="24.6" customHeight="1" x14ac:dyDescent="0.3">
      <c r="A12" s="91" t="s">
        <v>97</v>
      </c>
      <c r="B12" s="91" t="s">
        <v>94</v>
      </c>
      <c r="C12" s="91" t="s">
        <v>95</v>
      </c>
      <c r="D12" s="94"/>
    </row>
    <row r="13" spans="1:5" ht="24.6" customHeight="1" x14ac:dyDescent="0.3">
      <c r="A13" s="91" t="s">
        <v>98</v>
      </c>
      <c r="B13" s="91" t="s">
        <v>101</v>
      </c>
      <c r="C13" s="91" t="s">
        <v>100</v>
      </c>
      <c r="D13" s="94"/>
    </row>
    <row r="15" spans="1:5" x14ac:dyDescent="0.3">
      <c r="A15" s="158" t="s">
        <v>103</v>
      </c>
      <c r="B15" s="159"/>
      <c r="C15" s="159"/>
      <c r="D15" s="159"/>
      <c r="E15" s="159"/>
    </row>
    <row r="16" spans="1:5" ht="103.2" customHeight="1" thickBot="1" x14ac:dyDescent="0.35">
      <c r="A16" s="96" t="s">
        <v>90</v>
      </c>
      <c r="B16" s="97" t="s">
        <v>107</v>
      </c>
      <c r="C16" s="97" t="s">
        <v>123</v>
      </c>
      <c r="D16" s="97" t="s">
        <v>124</v>
      </c>
      <c r="E16" s="97" t="s">
        <v>108</v>
      </c>
    </row>
    <row r="17" spans="1:5" ht="72.599999999999994" customHeight="1" thickTop="1" x14ac:dyDescent="0.3">
      <c r="A17" s="88" t="s">
        <v>96</v>
      </c>
      <c r="B17" s="90" t="s">
        <v>104</v>
      </c>
      <c r="C17" s="88" t="s">
        <v>69</v>
      </c>
      <c r="D17" s="90" t="s">
        <v>69</v>
      </c>
      <c r="E17" s="90" t="s">
        <v>70</v>
      </c>
    </row>
    <row r="18" spans="1:5" ht="37.950000000000003" customHeight="1" x14ac:dyDescent="0.3">
      <c r="A18" s="91" t="s">
        <v>97</v>
      </c>
      <c r="B18" s="93" t="s">
        <v>105</v>
      </c>
      <c r="C18" s="91" t="s">
        <v>69</v>
      </c>
      <c r="D18" s="93" t="s">
        <v>69</v>
      </c>
      <c r="E18" s="93" t="s">
        <v>70</v>
      </c>
    </row>
    <row r="19" spans="1:5" ht="37.950000000000003" customHeight="1" x14ac:dyDescent="0.3">
      <c r="A19" s="88" t="s">
        <v>98</v>
      </c>
      <c r="B19" s="88" t="s">
        <v>70</v>
      </c>
      <c r="C19" s="160" t="s">
        <v>109</v>
      </c>
      <c r="D19" s="160"/>
      <c r="E19" s="91" t="s">
        <v>69</v>
      </c>
    </row>
    <row r="22" spans="1:5" x14ac:dyDescent="0.3">
      <c r="A22" s="106"/>
    </row>
  </sheetData>
  <mergeCells count="9">
    <mergeCell ref="A1:E1"/>
    <mergeCell ref="A15:E15"/>
    <mergeCell ref="C19:D19"/>
    <mergeCell ref="A3:A4"/>
    <mergeCell ref="B3:C3"/>
    <mergeCell ref="D3:E3"/>
    <mergeCell ref="A9:C9"/>
    <mergeCell ref="D5:E5"/>
    <mergeCell ref="D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DEF8E-1AEB-43B5-B280-1B597E953F92}">
  <dimension ref="B1:M18"/>
  <sheetViews>
    <sheetView zoomScale="95" zoomScaleNormal="95" workbookViewId="0">
      <selection activeCell="C5" sqref="C5"/>
    </sheetView>
  </sheetViews>
  <sheetFormatPr defaultRowHeight="14.4" x14ac:dyDescent="0.3"/>
  <cols>
    <col min="1" max="1" width="3.109375" customWidth="1"/>
    <col min="2" max="2" width="36.109375" customWidth="1"/>
    <col min="3" max="3" width="19" customWidth="1"/>
    <col min="4" max="4" width="17.6640625" customWidth="1"/>
    <col min="5" max="5" width="29.109375" customWidth="1"/>
    <col min="6" max="6" width="14.33203125" customWidth="1"/>
    <col min="7" max="7" width="28.6640625" customWidth="1"/>
    <col min="8" max="8" width="24.5546875" customWidth="1"/>
    <col min="9" max="9" width="16.44140625" customWidth="1"/>
    <col min="10" max="10" width="29.5546875" customWidth="1"/>
    <col min="11" max="11" width="25" customWidth="1"/>
    <col min="12" max="12" width="18.88671875" customWidth="1"/>
    <col min="13" max="13" width="11.5546875" bestFit="1" customWidth="1"/>
  </cols>
  <sheetData>
    <row r="1" spans="2:13" ht="15.6" x14ac:dyDescent="0.3">
      <c r="B1" s="146" t="s">
        <v>75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</row>
    <row r="3" spans="2:13" ht="108.6" customHeight="1" x14ac:dyDescent="0.3">
      <c r="B3" s="47" t="s">
        <v>33</v>
      </c>
      <c r="C3" s="27" t="s">
        <v>48</v>
      </c>
      <c r="D3" s="147" t="s">
        <v>38</v>
      </c>
      <c r="E3" s="148"/>
      <c r="F3" s="149"/>
      <c r="G3" s="147" t="s">
        <v>81</v>
      </c>
      <c r="H3" s="150"/>
      <c r="I3" s="149"/>
      <c r="J3" s="147" t="s">
        <v>49</v>
      </c>
      <c r="K3" s="150"/>
      <c r="L3" s="149"/>
    </row>
    <row r="4" spans="2:13" ht="24" customHeight="1" x14ac:dyDescent="0.3">
      <c r="B4" s="33" t="s">
        <v>35</v>
      </c>
      <c r="C4" s="69"/>
      <c r="D4" s="29"/>
      <c r="E4" s="70" t="s">
        <v>52</v>
      </c>
      <c r="F4" s="68" t="s">
        <v>3</v>
      </c>
      <c r="G4" s="32" t="s">
        <v>35</v>
      </c>
      <c r="H4" s="68" t="s">
        <v>52</v>
      </c>
      <c r="I4" s="138">
        <f>SUM(I5:I11)</f>
        <v>23320</v>
      </c>
      <c r="J4" s="32" t="s">
        <v>35</v>
      </c>
      <c r="K4" s="72" t="s">
        <v>52</v>
      </c>
      <c r="L4" s="68" t="s">
        <v>3</v>
      </c>
    </row>
    <row r="5" spans="2:13" s="20" customFormat="1" ht="114.6" customHeight="1" x14ac:dyDescent="0.3">
      <c r="B5" s="74" t="s">
        <v>15</v>
      </c>
      <c r="C5" s="136">
        <v>9000</v>
      </c>
      <c r="D5" s="30" t="s">
        <v>15</v>
      </c>
      <c r="E5" s="76" t="s">
        <v>77</v>
      </c>
      <c r="F5" s="83">
        <f>C5</f>
        <v>9000</v>
      </c>
      <c r="G5" s="74" t="s">
        <v>15</v>
      </c>
      <c r="H5" s="77" t="s">
        <v>158</v>
      </c>
      <c r="I5" s="83">
        <f>C5</f>
        <v>9000</v>
      </c>
      <c r="J5" s="74" t="s">
        <v>15</v>
      </c>
      <c r="K5" s="77" t="s">
        <v>158</v>
      </c>
      <c r="L5" s="83">
        <f>C5</f>
        <v>9000</v>
      </c>
    </row>
    <row r="6" spans="2:13" s="20" customFormat="1" ht="25.2" customHeight="1" x14ac:dyDescent="0.3">
      <c r="B6" s="74" t="s">
        <v>29</v>
      </c>
      <c r="C6" s="136">
        <v>800</v>
      </c>
      <c r="D6" s="151" t="s">
        <v>51</v>
      </c>
      <c r="E6" s="151" t="s">
        <v>70</v>
      </c>
      <c r="F6" s="169">
        <f>F5*1</f>
        <v>9000</v>
      </c>
      <c r="G6" s="74" t="s">
        <v>29</v>
      </c>
      <c r="H6" s="71" t="s">
        <v>69</v>
      </c>
      <c r="I6" s="83">
        <f t="shared" ref="I6:I10" si="0">C6</f>
        <v>800</v>
      </c>
      <c r="J6" s="74" t="s">
        <v>29</v>
      </c>
      <c r="K6" s="71" t="s">
        <v>69</v>
      </c>
      <c r="L6" s="83">
        <f t="shared" ref="L6:L10" si="1">C6</f>
        <v>800</v>
      </c>
    </row>
    <row r="7" spans="2:13" s="20" customFormat="1" ht="25.2" customHeight="1" x14ac:dyDescent="0.3">
      <c r="B7" s="74" t="s">
        <v>31</v>
      </c>
      <c r="C7" s="136">
        <v>700</v>
      </c>
      <c r="D7" s="151"/>
      <c r="E7" s="151"/>
      <c r="F7" s="169"/>
      <c r="G7" s="74" t="s">
        <v>31</v>
      </c>
      <c r="H7" s="71" t="s">
        <v>69</v>
      </c>
      <c r="I7" s="83">
        <f t="shared" si="0"/>
        <v>700</v>
      </c>
      <c r="J7" s="74" t="s">
        <v>31</v>
      </c>
      <c r="K7" s="71" t="s">
        <v>69</v>
      </c>
      <c r="L7" s="83">
        <f t="shared" si="1"/>
        <v>700</v>
      </c>
    </row>
    <row r="8" spans="2:13" s="20" customFormat="1" ht="25.2" customHeight="1" x14ac:dyDescent="0.3">
      <c r="B8" s="74" t="s">
        <v>32</v>
      </c>
      <c r="C8" s="136">
        <v>0</v>
      </c>
      <c r="D8" s="151"/>
      <c r="E8" s="151"/>
      <c r="F8" s="169"/>
      <c r="G8" s="74" t="s">
        <v>32</v>
      </c>
      <c r="H8" s="71" t="s">
        <v>69</v>
      </c>
      <c r="I8" s="83">
        <f t="shared" si="0"/>
        <v>0</v>
      </c>
      <c r="J8" s="74" t="s">
        <v>32</v>
      </c>
      <c r="K8" s="71" t="s">
        <v>69</v>
      </c>
      <c r="L8" s="83">
        <f t="shared" si="1"/>
        <v>0</v>
      </c>
    </row>
    <row r="9" spans="2:13" s="20" customFormat="1" ht="25.2" customHeight="1" x14ac:dyDescent="0.3">
      <c r="B9" s="74" t="s">
        <v>30</v>
      </c>
      <c r="C9" s="136">
        <v>13500</v>
      </c>
      <c r="D9" s="151"/>
      <c r="E9" s="151"/>
      <c r="F9" s="169"/>
      <c r="G9" s="74" t="s">
        <v>30</v>
      </c>
      <c r="H9" s="71" t="s">
        <v>69</v>
      </c>
      <c r="I9" s="83">
        <f t="shared" si="0"/>
        <v>13500</v>
      </c>
      <c r="J9" s="74" t="s">
        <v>30</v>
      </c>
      <c r="K9" s="71" t="s">
        <v>69</v>
      </c>
      <c r="L9" s="83">
        <f t="shared" si="1"/>
        <v>13500</v>
      </c>
    </row>
    <row r="10" spans="2:13" s="20" customFormat="1" ht="25.2" customHeight="1" x14ac:dyDescent="0.3">
      <c r="B10" s="74" t="s">
        <v>79</v>
      </c>
      <c r="C10" s="136">
        <v>0</v>
      </c>
      <c r="D10" s="151"/>
      <c r="E10" s="151"/>
      <c r="F10" s="169"/>
      <c r="G10" s="74" t="s">
        <v>79</v>
      </c>
      <c r="H10" s="71" t="s">
        <v>69</v>
      </c>
      <c r="I10" s="83">
        <f t="shared" si="0"/>
        <v>0</v>
      </c>
      <c r="J10" s="74" t="s">
        <v>79</v>
      </c>
      <c r="K10" s="71" t="s">
        <v>69</v>
      </c>
      <c r="L10" s="83">
        <f t="shared" si="1"/>
        <v>0</v>
      </c>
      <c r="M10" s="81"/>
    </row>
    <row r="11" spans="2:13" s="20" customFormat="1" ht="25.2" customHeight="1" x14ac:dyDescent="0.3">
      <c r="B11" s="74"/>
      <c r="C11" s="136"/>
      <c r="D11" s="151"/>
      <c r="E11" s="151"/>
      <c r="F11" s="169"/>
      <c r="G11" s="74" t="s">
        <v>82</v>
      </c>
      <c r="H11" s="82"/>
      <c r="I11" s="137">
        <v>-680</v>
      </c>
      <c r="J11" s="74" t="s">
        <v>82</v>
      </c>
      <c r="K11" s="71"/>
      <c r="L11" s="83"/>
      <c r="M11" s="81"/>
    </row>
    <row r="12" spans="2:13" ht="25.2" customHeight="1" x14ac:dyDescent="0.3">
      <c r="B12" s="36" t="s">
        <v>36</v>
      </c>
      <c r="C12" s="34" t="s">
        <v>37</v>
      </c>
      <c r="D12" s="152"/>
      <c r="E12" s="152"/>
      <c r="F12" s="170"/>
      <c r="G12" s="36" t="s">
        <v>78</v>
      </c>
      <c r="H12" s="66" t="s">
        <v>70</v>
      </c>
      <c r="I12" s="139">
        <f>I4*0.07</f>
        <v>1632.4</v>
      </c>
      <c r="J12" s="36" t="s">
        <v>78</v>
      </c>
      <c r="K12" s="36" t="s">
        <v>70</v>
      </c>
      <c r="L12" s="139">
        <f>L5*0.15</f>
        <v>1350</v>
      </c>
    </row>
    <row r="13" spans="2:13" s="20" customFormat="1" ht="25.2" customHeight="1" x14ac:dyDescent="0.3">
      <c r="B13" s="38" t="s">
        <v>34</v>
      </c>
      <c r="C13" s="140">
        <f>SUM(C5:C12)</f>
        <v>24000</v>
      </c>
      <c r="D13" s="40" t="s">
        <v>34</v>
      </c>
      <c r="E13" s="65"/>
      <c r="F13" s="141">
        <f>SUM(F5:F12)</f>
        <v>18000</v>
      </c>
      <c r="G13" s="144" t="s">
        <v>34</v>
      </c>
      <c r="H13" s="145"/>
      <c r="I13" s="141">
        <f>I4+I12</f>
        <v>24952.400000000001</v>
      </c>
      <c r="J13" s="144" t="s">
        <v>34</v>
      </c>
      <c r="K13" s="145"/>
      <c r="L13" s="141">
        <f>SUM(L5:L12)</f>
        <v>25350</v>
      </c>
    </row>
    <row r="17" spans="3:9" x14ac:dyDescent="0.3">
      <c r="C17" s="23"/>
      <c r="I17" s="23"/>
    </row>
    <row r="18" spans="3:9" x14ac:dyDescent="0.3">
      <c r="I18" s="23"/>
    </row>
  </sheetData>
  <mergeCells count="9">
    <mergeCell ref="G13:H13"/>
    <mergeCell ref="J13:K13"/>
    <mergeCell ref="B1:L1"/>
    <mergeCell ref="E6:E12"/>
    <mergeCell ref="F6:F12"/>
    <mergeCell ref="D6:D12"/>
    <mergeCell ref="D3:F3"/>
    <mergeCell ref="G3:I3"/>
    <mergeCell ref="J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C839-C38A-44AD-8C1C-CCEFB8387F85}">
  <dimension ref="A1:R35"/>
  <sheetViews>
    <sheetView zoomScale="102" zoomScaleNormal="102" workbookViewId="0">
      <selection activeCell="M11" sqref="M11"/>
    </sheetView>
  </sheetViews>
  <sheetFormatPr defaultRowHeight="14.4" x14ac:dyDescent="0.3"/>
  <cols>
    <col min="2" max="2" width="19.33203125" customWidth="1"/>
    <col min="3" max="3" width="19.88671875" customWidth="1"/>
    <col min="4" max="5" width="17.6640625" customWidth="1"/>
    <col min="8" max="8" width="12.109375" customWidth="1"/>
    <col min="9" max="9" width="12.44140625" customWidth="1"/>
    <col min="10" max="10" width="20.5546875" customWidth="1"/>
    <col min="11" max="11" width="48.109375" customWidth="1"/>
  </cols>
  <sheetData>
    <row r="1" spans="1:18" x14ac:dyDescent="0.3">
      <c r="B1" s="15" t="s">
        <v>50</v>
      </c>
    </row>
    <row r="2" spans="1:18" x14ac:dyDescent="0.3">
      <c r="B2" t="s">
        <v>27</v>
      </c>
      <c r="C2" s="175" t="s">
        <v>26</v>
      </c>
      <c r="D2" s="175"/>
      <c r="E2" s="175"/>
      <c r="F2" s="175"/>
      <c r="G2" s="175"/>
      <c r="H2" s="175"/>
      <c r="I2" s="175"/>
      <c r="J2" s="175"/>
      <c r="K2" s="175"/>
    </row>
    <row r="3" spans="1:18" s="1" customFormat="1" ht="13.8" x14ac:dyDescent="0.3">
      <c r="I3" s="2"/>
      <c r="J3" s="2"/>
    </row>
    <row r="4" spans="1:18" s="1" customFormat="1" ht="27.6" customHeight="1" x14ac:dyDescent="0.3">
      <c r="B4" s="176" t="s">
        <v>21</v>
      </c>
      <c r="C4" s="177" t="s">
        <v>134</v>
      </c>
      <c r="D4" s="179" t="s">
        <v>16</v>
      </c>
      <c r="E4" s="179" t="s">
        <v>205</v>
      </c>
      <c r="F4" s="181" t="s">
        <v>156</v>
      </c>
      <c r="G4" s="108" t="s">
        <v>204</v>
      </c>
      <c r="H4" s="134" t="s">
        <v>197</v>
      </c>
      <c r="I4" s="117" t="s">
        <v>34</v>
      </c>
      <c r="J4" s="190" t="s">
        <v>155</v>
      </c>
      <c r="K4" s="190"/>
      <c r="N4" t="s">
        <v>122</v>
      </c>
    </row>
    <row r="5" spans="1:18" s="1" customFormat="1" ht="13.5" customHeight="1" x14ac:dyDescent="0.3">
      <c r="B5" s="176"/>
      <c r="C5" s="178"/>
      <c r="D5" s="180"/>
      <c r="E5" s="180"/>
      <c r="F5" s="182"/>
      <c r="G5" s="109" t="s">
        <v>4</v>
      </c>
      <c r="H5" s="5" t="s">
        <v>5</v>
      </c>
      <c r="I5" s="118" t="s">
        <v>6</v>
      </c>
      <c r="J5" s="190"/>
      <c r="K5" s="190"/>
      <c r="N5" t="s">
        <v>121</v>
      </c>
    </row>
    <row r="6" spans="1:18" s="6" customFormat="1" ht="56.4" customHeight="1" x14ac:dyDescent="0.3">
      <c r="A6" s="1"/>
      <c r="B6" s="183" t="s">
        <v>8</v>
      </c>
      <c r="C6" s="185"/>
      <c r="D6" s="187" t="s">
        <v>122</v>
      </c>
      <c r="E6" s="73" t="s">
        <v>130</v>
      </c>
      <c r="F6" s="113" t="s">
        <v>17</v>
      </c>
      <c r="G6" s="114"/>
      <c r="H6" s="115"/>
      <c r="I6" s="21">
        <f>G6*H6</f>
        <v>0</v>
      </c>
      <c r="J6" s="172" t="s">
        <v>132</v>
      </c>
      <c r="K6" s="112" t="s">
        <v>127</v>
      </c>
    </row>
    <row r="7" spans="1:18" s="6" customFormat="1" ht="42.6" customHeight="1" x14ac:dyDescent="0.3">
      <c r="A7" s="1"/>
      <c r="B7" s="184"/>
      <c r="C7" s="186"/>
      <c r="D7" s="186"/>
      <c r="E7" s="107" t="s">
        <v>131</v>
      </c>
      <c r="F7" s="116" t="s">
        <v>129</v>
      </c>
      <c r="G7" s="114"/>
      <c r="H7" s="10"/>
      <c r="I7" s="21">
        <f t="shared" ref="I7:I11" si="0">G7*H7</f>
        <v>0</v>
      </c>
      <c r="J7" s="172"/>
      <c r="K7" s="73" t="s">
        <v>128</v>
      </c>
    </row>
    <row r="8" spans="1:18" s="6" customFormat="1" ht="55.2" x14ac:dyDescent="0.3">
      <c r="A8" s="1"/>
      <c r="B8" s="183" t="s">
        <v>9</v>
      </c>
      <c r="C8" s="185"/>
      <c r="D8" s="185" t="s">
        <v>122</v>
      </c>
      <c r="E8" s="73" t="s">
        <v>130</v>
      </c>
      <c r="F8" s="113" t="s">
        <v>17</v>
      </c>
      <c r="G8" s="114"/>
      <c r="H8" s="110"/>
      <c r="I8" s="21">
        <f t="shared" si="0"/>
        <v>0</v>
      </c>
      <c r="J8" s="171" t="s">
        <v>132</v>
      </c>
      <c r="K8" s="73" t="s">
        <v>127</v>
      </c>
    </row>
    <row r="9" spans="1:18" s="6" customFormat="1" ht="46.5" customHeight="1" x14ac:dyDescent="0.3">
      <c r="A9" s="1"/>
      <c r="B9" s="184"/>
      <c r="C9" s="186"/>
      <c r="D9" s="186"/>
      <c r="E9" s="107" t="s">
        <v>131</v>
      </c>
      <c r="F9" s="116" t="s">
        <v>129</v>
      </c>
      <c r="G9" s="114"/>
      <c r="H9" s="10"/>
      <c r="I9" s="21">
        <f t="shared" si="0"/>
        <v>0</v>
      </c>
      <c r="J9" s="172"/>
      <c r="K9" s="73" t="s">
        <v>128</v>
      </c>
    </row>
    <row r="10" spans="1:18" s="6" customFormat="1" ht="60.75" customHeight="1" x14ac:dyDescent="0.3">
      <c r="A10" s="1"/>
      <c r="B10" s="183" t="s">
        <v>10</v>
      </c>
      <c r="C10" s="185"/>
      <c r="D10" s="185" t="s">
        <v>122</v>
      </c>
      <c r="E10" s="73" t="s">
        <v>130</v>
      </c>
      <c r="F10" s="113" t="s">
        <v>17</v>
      </c>
      <c r="G10" s="114"/>
      <c r="H10" s="110"/>
      <c r="I10" s="21">
        <f t="shared" si="0"/>
        <v>0</v>
      </c>
      <c r="J10" s="171" t="s">
        <v>132</v>
      </c>
      <c r="K10" s="73" t="s">
        <v>127</v>
      </c>
    </row>
    <row r="11" spans="1:18" s="6" customFormat="1" ht="51.75" customHeight="1" x14ac:dyDescent="0.3">
      <c r="A11" s="1"/>
      <c r="B11" s="184"/>
      <c r="C11" s="186"/>
      <c r="D11" s="186"/>
      <c r="E11" s="107" t="s">
        <v>131</v>
      </c>
      <c r="F11" s="116" t="s">
        <v>129</v>
      </c>
      <c r="G11" s="114"/>
      <c r="H11" s="10"/>
      <c r="I11" s="21">
        <f t="shared" si="0"/>
        <v>0</v>
      </c>
      <c r="J11" s="172"/>
      <c r="K11" s="73" t="s">
        <v>128</v>
      </c>
    </row>
    <row r="12" spans="1:18" s="6" customFormat="1" ht="18.600000000000001" customHeight="1" x14ac:dyDescent="0.3">
      <c r="A12" s="1"/>
      <c r="B12" s="191" t="s">
        <v>20</v>
      </c>
      <c r="C12" s="192"/>
      <c r="D12" s="192"/>
      <c r="E12" s="192"/>
      <c r="F12" s="192"/>
      <c r="G12" s="192"/>
      <c r="H12" s="86"/>
      <c r="I12" s="21">
        <f>SUM(I6:I11)</f>
        <v>0</v>
      </c>
      <c r="J12" s="119"/>
      <c r="K12" s="10"/>
    </row>
    <row r="13" spans="1:18" s="6" customFormat="1" ht="14.25" customHeight="1" x14ac:dyDescent="0.3">
      <c r="A13" s="17"/>
      <c r="B13" s="17"/>
      <c r="C13" s="17"/>
      <c r="D13" s="17"/>
      <c r="E13" s="17"/>
      <c r="F13" s="18"/>
      <c r="G13" s="19"/>
    </row>
    <row r="14" spans="1:18" x14ac:dyDescent="0.3">
      <c r="B14" s="188" t="s">
        <v>22</v>
      </c>
      <c r="C14" s="189"/>
      <c r="D14" s="189"/>
      <c r="E14" s="189"/>
      <c r="F14" s="189"/>
      <c r="G14" s="189"/>
      <c r="H14" s="85"/>
      <c r="I14" s="21">
        <f>I12*1</f>
        <v>0</v>
      </c>
      <c r="J14" s="21"/>
      <c r="K14" s="9" t="s">
        <v>19</v>
      </c>
    </row>
    <row r="15" spans="1:18" x14ac:dyDescent="0.3"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18" s="6" customFormat="1" ht="18.600000000000001" customHeight="1" x14ac:dyDescent="0.3">
      <c r="A16" s="1"/>
      <c r="B16" s="173" t="s">
        <v>23</v>
      </c>
      <c r="C16" s="174"/>
      <c r="D16" s="174"/>
      <c r="E16" s="174"/>
      <c r="F16" s="174"/>
      <c r="G16" s="174"/>
      <c r="H16" s="84"/>
      <c r="I16" s="64">
        <f>I14+I12</f>
        <v>0</v>
      </c>
      <c r="J16" s="64"/>
      <c r="K16" s="10"/>
    </row>
    <row r="20" spans="2:2" x14ac:dyDescent="0.3">
      <c r="B20" t="s">
        <v>53</v>
      </c>
    </row>
    <row r="21" spans="2:2" x14ac:dyDescent="0.3">
      <c r="B21" t="s">
        <v>54</v>
      </c>
    </row>
    <row r="22" spans="2:2" x14ac:dyDescent="0.3">
      <c r="B22" t="s">
        <v>55</v>
      </c>
    </row>
    <row r="23" spans="2:2" x14ac:dyDescent="0.3">
      <c r="B23" t="s">
        <v>56</v>
      </c>
    </row>
    <row r="24" spans="2:2" x14ac:dyDescent="0.3">
      <c r="B24" t="s">
        <v>57</v>
      </c>
    </row>
    <row r="25" spans="2:2" x14ac:dyDescent="0.3">
      <c r="B25" t="s">
        <v>58</v>
      </c>
    </row>
    <row r="26" spans="2:2" x14ac:dyDescent="0.3">
      <c r="B26" t="s">
        <v>59</v>
      </c>
    </row>
    <row r="27" spans="2:2" x14ac:dyDescent="0.3">
      <c r="B27" t="s">
        <v>60</v>
      </c>
    </row>
    <row r="28" spans="2:2" x14ac:dyDescent="0.3">
      <c r="B28" t="s">
        <v>61</v>
      </c>
    </row>
    <row r="29" spans="2:2" x14ac:dyDescent="0.3">
      <c r="B29" t="s">
        <v>62</v>
      </c>
    </row>
    <row r="30" spans="2:2" x14ac:dyDescent="0.3">
      <c r="B30" t="s">
        <v>63</v>
      </c>
    </row>
    <row r="31" spans="2:2" x14ac:dyDescent="0.3">
      <c r="B31" t="s">
        <v>64</v>
      </c>
    </row>
    <row r="32" spans="2:2" x14ac:dyDescent="0.3">
      <c r="B32" t="s">
        <v>65</v>
      </c>
    </row>
    <row r="33" spans="2:2" x14ac:dyDescent="0.3">
      <c r="B33" t="s">
        <v>66</v>
      </c>
    </row>
    <row r="34" spans="2:2" x14ac:dyDescent="0.3">
      <c r="B34" t="s">
        <v>67</v>
      </c>
    </row>
    <row r="35" spans="2:2" x14ac:dyDescent="0.3">
      <c r="B35" t="s">
        <v>68</v>
      </c>
    </row>
  </sheetData>
  <mergeCells count="22">
    <mergeCell ref="B12:G12"/>
    <mergeCell ref="C8:C9"/>
    <mergeCell ref="B10:B11"/>
    <mergeCell ref="C10:C11"/>
    <mergeCell ref="D10:D11"/>
    <mergeCell ref="B8:B9"/>
    <mergeCell ref="J10:J11"/>
    <mergeCell ref="B16:G16"/>
    <mergeCell ref="C2:K2"/>
    <mergeCell ref="B4:B5"/>
    <mergeCell ref="C4:C5"/>
    <mergeCell ref="D4:D5"/>
    <mergeCell ref="F4:F5"/>
    <mergeCell ref="B6:B7"/>
    <mergeCell ref="C6:C7"/>
    <mergeCell ref="D6:D7"/>
    <mergeCell ref="E4:E5"/>
    <mergeCell ref="B14:G14"/>
    <mergeCell ref="J6:J7"/>
    <mergeCell ref="J4:K5"/>
    <mergeCell ref="D8:D9"/>
    <mergeCell ref="J8:J9"/>
  </mergeCells>
  <phoneticPr fontId="5" type="noConversion"/>
  <dataValidations count="1">
    <dataValidation type="list" allowBlank="1" showInputMessage="1" showErrorMessage="1" sqref="D6:E11" xr:uid="{90EF301C-DB24-48F1-A8EA-39821598CF38}">
      <formula1>$N$4:$N$5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F55D-212C-4955-A8FB-D56964346ECE}">
  <dimension ref="A1:N56"/>
  <sheetViews>
    <sheetView topLeftCell="A6" zoomScale="107" zoomScaleNormal="107" workbookViewId="0">
      <selection activeCell="F12" sqref="F12"/>
    </sheetView>
  </sheetViews>
  <sheetFormatPr defaultRowHeight="14.4" x14ac:dyDescent="0.3"/>
  <cols>
    <col min="2" max="2" width="23.6640625" customWidth="1"/>
    <col min="3" max="3" width="17.33203125" customWidth="1"/>
    <col min="4" max="5" width="17.109375" customWidth="1"/>
    <col min="6" max="6" width="18.109375" customWidth="1"/>
    <col min="8" max="8" width="13.6640625" customWidth="1"/>
    <col min="9" max="9" width="12.33203125" customWidth="1"/>
    <col min="10" max="10" width="12.88671875" customWidth="1"/>
    <col min="11" max="11" width="29.33203125" customWidth="1"/>
    <col min="12" max="12" width="30.44140625" customWidth="1"/>
    <col min="13" max="13" width="32.44140625" customWidth="1"/>
  </cols>
  <sheetData>
    <row r="1" spans="1:14" x14ac:dyDescent="0.3">
      <c r="B1" s="15" t="s">
        <v>146</v>
      </c>
    </row>
    <row r="2" spans="1:14" x14ac:dyDescent="0.3">
      <c r="B2" s="193" t="s">
        <v>106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1"/>
      <c r="N2" s="11"/>
    </row>
    <row r="4" spans="1:14" ht="15.6" x14ac:dyDescent="0.3">
      <c r="B4" s="55" t="s">
        <v>35</v>
      </c>
      <c r="J4" s="123">
        <f>J14+J21+J27+J34+J41+J48</f>
        <v>0</v>
      </c>
      <c r="K4" s="57"/>
    </row>
    <row r="5" spans="1:14" x14ac:dyDescent="0.3">
      <c r="K5" s="56"/>
    </row>
    <row r="6" spans="1:14" ht="37.5" customHeight="1" x14ac:dyDescent="0.3">
      <c r="B6" s="194" t="s">
        <v>15</v>
      </c>
      <c r="C6" s="195" t="s">
        <v>134</v>
      </c>
      <c r="D6" s="195"/>
      <c r="E6" s="179" t="s">
        <v>16</v>
      </c>
      <c r="F6" s="179" t="s">
        <v>205</v>
      </c>
      <c r="G6" s="181" t="s">
        <v>0</v>
      </c>
      <c r="H6" s="3" t="s">
        <v>1</v>
      </c>
      <c r="I6" s="3" t="s">
        <v>195</v>
      </c>
      <c r="J6" s="4" t="s">
        <v>193</v>
      </c>
      <c r="K6" s="190" t="s">
        <v>18</v>
      </c>
      <c r="L6" s="190"/>
    </row>
    <row r="7" spans="1:14" ht="22.2" customHeight="1" x14ac:dyDescent="0.3">
      <c r="B7" s="194"/>
      <c r="C7" s="195"/>
      <c r="D7" s="195"/>
      <c r="E7" s="180"/>
      <c r="F7" s="180"/>
      <c r="G7" s="182"/>
      <c r="H7" s="5" t="s">
        <v>4</v>
      </c>
      <c r="I7" s="135" t="s">
        <v>5</v>
      </c>
      <c r="J7" s="5" t="s">
        <v>6</v>
      </c>
      <c r="K7" s="190"/>
      <c r="L7" s="190"/>
      <c r="N7" t="s">
        <v>69</v>
      </c>
    </row>
    <row r="8" spans="1:14" s="6" customFormat="1" ht="70.2" customHeight="1" x14ac:dyDescent="0.3">
      <c r="A8" s="1"/>
      <c r="B8" s="183" t="s">
        <v>8</v>
      </c>
      <c r="C8" s="197"/>
      <c r="D8" s="197"/>
      <c r="E8" s="185" t="s">
        <v>122</v>
      </c>
      <c r="F8" s="73" t="s">
        <v>130</v>
      </c>
      <c r="G8" s="113" t="s">
        <v>17</v>
      </c>
      <c r="H8" s="73"/>
      <c r="I8" s="110"/>
      <c r="J8" s="120">
        <f>ROUND(H8*I8,2)</f>
        <v>0</v>
      </c>
      <c r="K8" s="171" t="s">
        <v>132</v>
      </c>
      <c r="L8" s="73" t="s">
        <v>127</v>
      </c>
      <c r="M8"/>
      <c r="N8" s="6" t="s">
        <v>70</v>
      </c>
    </row>
    <row r="9" spans="1:14" s="6" customFormat="1" ht="41.4" x14ac:dyDescent="0.3">
      <c r="A9" s="1"/>
      <c r="B9" s="184"/>
      <c r="C9" s="197"/>
      <c r="D9" s="197"/>
      <c r="E9" s="186"/>
      <c r="F9" s="107" t="s">
        <v>131</v>
      </c>
      <c r="G9" s="116" t="s">
        <v>129</v>
      </c>
      <c r="H9" s="107"/>
      <c r="I9" s="10"/>
      <c r="J9" s="120">
        <f t="shared" ref="J9:J13" si="0">ROUND(H9*I9,2)</f>
        <v>0</v>
      </c>
      <c r="K9" s="172"/>
      <c r="L9" s="73" t="s">
        <v>128</v>
      </c>
    </row>
    <row r="10" spans="1:14" s="6" customFormat="1" ht="81.75" customHeight="1" x14ac:dyDescent="0.3">
      <c r="A10" s="1"/>
      <c r="B10" s="183" t="s">
        <v>9</v>
      </c>
      <c r="C10" s="197"/>
      <c r="D10" s="197"/>
      <c r="E10" s="185" t="s">
        <v>122</v>
      </c>
      <c r="F10" s="73" t="s">
        <v>130</v>
      </c>
      <c r="G10" s="113" t="s">
        <v>17</v>
      </c>
      <c r="H10" s="73"/>
      <c r="I10" s="110"/>
      <c r="J10" s="120">
        <f t="shared" si="0"/>
        <v>0</v>
      </c>
      <c r="K10" s="171" t="s">
        <v>74</v>
      </c>
      <c r="L10" s="73" t="s">
        <v>127</v>
      </c>
    </row>
    <row r="11" spans="1:14" s="6" customFormat="1" ht="40.5" customHeight="1" x14ac:dyDescent="0.3">
      <c r="A11" s="1"/>
      <c r="B11" s="184"/>
      <c r="C11" s="197"/>
      <c r="D11" s="197"/>
      <c r="E11" s="186"/>
      <c r="F11" s="107" t="s">
        <v>131</v>
      </c>
      <c r="G11" s="116" t="s">
        <v>129</v>
      </c>
      <c r="H11" s="107"/>
      <c r="I11" s="10"/>
      <c r="J11" s="120">
        <f t="shared" si="0"/>
        <v>0</v>
      </c>
      <c r="K11" s="172"/>
      <c r="L11" s="73" t="s">
        <v>128</v>
      </c>
    </row>
    <row r="12" spans="1:14" s="6" customFormat="1" ht="81.75" customHeight="1" x14ac:dyDescent="0.3">
      <c r="A12" s="1"/>
      <c r="B12" s="222" t="s">
        <v>10</v>
      </c>
      <c r="C12" s="197"/>
      <c r="D12" s="197"/>
      <c r="E12" s="197" t="s">
        <v>122</v>
      </c>
      <c r="F12" s="73" t="s">
        <v>130</v>
      </c>
      <c r="G12" s="113" t="s">
        <v>17</v>
      </c>
      <c r="H12" s="73"/>
      <c r="I12" s="111"/>
      <c r="J12" s="120">
        <f t="shared" si="0"/>
        <v>0</v>
      </c>
      <c r="K12" s="196" t="s">
        <v>74</v>
      </c>
      <c r="L12" s="73" t="s">
        <v>127</v>
      </c>
    </row>
    <row r="13" spans="1:14" s="6" customFormat="1" ht="43.5" customHeight="1" x14ac:dyDescent="0.3">
      <c r="A13" s="1"/>
      <c r="B13" s="222"/>
      <c r="C13" s="197"/>
      <c r="D13" s="197"/>
      <c r="E13" s="197"/>
      <c r="F13" s="9" t="s">
        <v>131</v>
      </c>
      <c r="G13" s="121" t="s">
        <v>129</v>
      </c>
      <c r="H13" s="9"/>
      <c r="I13" s="10"/>
      <c r="J13" s="120">
        <f t="shared" si="0"/>
        <v>0</v>
      </c>
      <c r="K13" s="196"/>
      <c r="L13" s="73" t="s">
        <v>128</v>
      </c>
    </row>
    <row r="14" spans="1:14" x14ac:dyDescent="0.3">
      <c r="J14" s="122">
        <f>SUM(J8:J13)</f>
        <v>0</v>
      </c>
    </row>
    <row r="15" spans="1:14" x14ac:dyDescent="0.3">
      <c r="K15" s="56"/>
    </row>
    <row r="16" spans="1:14" ht="50.4" customHeight="1" x14ac:dyDescent="0.3">
      <c r="B16" s="200" t="s">
        <v>29</v>
      </c>
      <c r="C16" s="201"/>
      <c r="D16" s="217" t="s">
        <v>138</v>
      </c>
      <c r="E16" s="218"/>
      <c r="F16" s="219"/>
      <c r="G16" s="181" t="s">
        <v>0</v>
      </c>
      <c r="H16" s="3" t="s">
        <v>1</v>
      </c>
      <c r="I16" s="3" t="s">
        <v>2</v>
      </c>
      <c r="J16" s="4" t="s">
        <v>193</v>
      </c>
      <c r="K16" s="190" t="s">
        <v>136</v>
      </c>
      <c r="L16" s="190"/>
    </row>
    <row r="17" spans="2:12" x14ac:dyDescent="0.3">
      <c r="B17" s="202"/>
      <c r="C17" s="203"/>
      <c r="D17" s="152"/>
      <c r="E17" s="220"/>
      <c r="F17" s="221"/>
      <c r="G17" s="182"/>
      <c r="H17" s="5" t="s">
        <v>4</v>
      </c>
      <c r="I17" s="5" t="s">
        <v>5</v>
      </c>
      <c r="J17" s="5" t="s">
        <v>6</v>
      </c>
      <c r="K17" s="190"/>
      <c r="L17" s="190"/>
    </row>
    <row r="18" spans="2:12" x14ac:dyDescent="0.3">
      <c r="B18" s="204" t="s">
        <v>137</v>
      </c>
      <c r="C18" s="205"/>
      <c r="D18" s="214"/>
      <c r="E18" s="215"/>
      <c r="F18" s="216"/>
      <c r="G18" s="7"/>
      <c r="H18" s="8"/>
      <c r="I18" s="8"/>
      <c r="J18" s="120">
        <f>H18*I18</f>
        <v>0</v>
      </c>
      <c r="K18" s="198"/>
      <c r="L18" s="199"/>
    </row>
    <row r="19" spans="2:12" x14ac:dyDescent="0.3">
      <c r="B19" s="204" t="s">
        <v>137</v>
      </c>
      <c r="C19" s="205"/>
      <c r="D19" s="214"/>
      <c r="E19" s="215"/>
      <c r="F19" s="216"/>
      <c r="G19" s="7"/>
      <c r="H19" s="8"/>
      <c r="I19" s="8"/>
      <c r="J19" s="120">
        <f>H19*I19</f>
        <v>0</v>
      </c>
      <c r="K19" s="198"/>
      <c r="L19" s="199"/>
    </row>
    <row r="20" spans="2:12" x14ac:dyDescent="0.3">
      <c r="B20" s="204" t="s">
        <v>137</v>
      </c>
      <c r="C20" s="205"/>
      <c r="D20" s="214"/>
      <c r="E20" s="215"/>
      <c r="F20" s="216"/>
      <c r="G20" s="7"/>
      <c r="H20" s="8"/>
      <c r="I20" s="8"/>
      <c r="J20" s="120">
        <f>H20*I20</f>
        <v>0</v>
      </c>
      <c r="K20" s="198"/>
      <c r="L20" s="199"/>
    </row>
    <row r="21" spans="2:12" x14ac:dyDescent="0.3">
      <c r="J21" s="122">
        <f>SUM(J18:J20)</f>
        <v>0</v>
      </c>
    </row>
    <row r="22" spans="2:12" ht="15" customHeight="1" x14ac:dyDescent="0.3">
      <c r="B22" s="200" t="s">
        <v>31</v>
      </c>
      <c r="C22" s="201"/>
      <c r="D22" s="206" t="s">
        <v>138</v>
      </c>
      <c r="E22" s="103"/>
      <c r="F22" s="208" t="s">
        <v>192</v>
      </c>
      <c r="G22" s="181" t="s">
        <v>0</v>
      </c>
      <c r="H22" s="3" t="s">
        <v>1</v>
      </c>
      <c r="I22" s="3" t="s">
        <v>2</v>
      </c>
      <c r="J22" s="4" t="s">
        <v>193</v>
      </c>
      <c r="K22" s="190" t="s">
        <v>136</v>
      </c>
      <c r="L22" s="190"/>
    </row>
    <row r="23" spans="2:12" ht="27" customHeight="1" x14ac:dyDescent="0.3">
      <c r="B23" s="202"/>
      <c r="C23" s="203"/>
      <c r="D23" s="207"/>
      <c r="E23" s="104"/>
      <c r="F23" s="209"/>
      <c r="G23" s="182"/>
      <c r="H23" s="5" t="s">
        <v>4</v>
      </c>
      <c r="I23" s="5" t="s">
        <v>5</v>
      </c>
      <c r="J23" s="5" t="s">
        <v>6</v>
      </c>
      <c r="K23" s="190"/>
      <c r="L23" s="190"/>
    </row>
    <row r="24" spans="2:12" x14ac:dyDescent="0.3">
      <c r="B24" s="204" t="s">
        <v>45</v>
      </c>
      <c r="C24" s="205"/>
      <c r="D24" s="16"/>
      <c r="E24" s="16"/>
      <c r="F24" s="16" t="s">
        <v>69</v>
      </c>
      <c r="G24" s="7"/>
      <c r="H24" s="8"/>
      <c r="I24" s="8"/>
      <c r="J24" s="120">
        <f>H24*I24</f>
        <v>0</v>
      </c>
      <c r="K24" s="198"/>
      <c r="L24" s="199"/>
    </row>
    <row r="25" spans="2:12" x14ac:dyDescent="0.3">
      <c r="B25" s="204" t="s">
        <v>46</v>
      </c>
      <c r="C25" s="205"/>
      <c r="D25" s="16"/>
      <c r="E25" s="16"/>
      <c r="F25" s="16" t="s">
        <v>69</v>
      </c>
      <c r="G25" s="7"/>
      <c r="H25" s="8"/>
      <c r="I25" s="8"/>
      <c r="J25" s="120">
        <f>H25*I25</f>
        <v>0</v>
      </c>
      <c r="K25" s="198"/>
      <c r="L25" s="199"/>
    </row>
    <row r="26" spans="2:12" x14ac:dyDescent="0.3">
      <c r="B26" s="204" t="s">
        <v>47</v>
      </c>
      <c r="C26" s="205"/>
      <c r="D26" s="16"/>
      <c r="E26" s="16"/>
      <c r="F26" s="16" t="s">
        <v>69</v>
      </c>
      <c r="G26" s="7"/>
      <c r="H26" s="8"/>
      <c r="I26" s="8"/>
      <c r="J26" s="120">
        <f>H26*I26</f>
        <v>0</v>
      </c>
      <c r="K26" s="198"/>
      <c r="L26" s="199"/>
    </row>
    <row r="27" spans="2:12" x14ac:dyDescent="0.3">
      <c r="J27" s="122">
        <f>SUM(J24:J26)</f>
        <v>0</v>
      </c>
    </row>
    <row r="28" spans="2:12" x14ac:dyDescent="0.3">
      <c r="J28" s="122"/>
    </row>
    <row r="29" spans="2:12" ht="15" customHeight="1" x14ac:dyDescent="0.3">
      <c r="B29" s="210" t="s">
        <v>141</v>
      </c>
      <c r="C29" s="211"/>
      <c r="D29" s="206" t="s">
        <v>138</v>
      </c>
      <c r="E29" s="103"/>
      <c r="F29" s="208" t="s">
        <v>192</v>
      </c>
      <c r="G29" s="181" t="s">
        <v>0</v>
      </c>
      <c r="H29" s="3" t="s">
        <v>1</v>
      </c>
      <c r="I29" s="3" t="s">
        <v>2</v>
      </c>
      <c r="J29" s="4" t="s">
        <v>193</v>
      </c>
      <c r="K29" s="190" t="s">
        <v>136</v>
      </c>
      <c r="L29" s="190"/>
    </row>
    <row r="30" spans="2:12" ht="32.25" customHeight="1" x14ac:dyDescent="0.3">
      <c r="B30" s="212"/>
      <c r="C30" s="213"/>
      <c r="D30" s="207"/>
      <c r="E30" s="104"/>
      <c r="F30" s="209"/>
      <c r="G30" s="182"/>
      <c r="H30" s="5" t="s">
        <v>4</v>
      </c>
      <c r="I30" s="5" t="s">
        <v>5</v>
      </c>
      <c r="J30" s="5" t="s">
        <v>6</v>
      </c>
      <c r="K30" s="190"/>
      <c r="L30" s="190"/>
    </row>
    <row r="31" spans="2:12" x14ac:dyDescent="0.3">
      <c r="B31" s="204" t="s">
        <v>45</v>
      </c>
      <c r="C31" s="205"/>
      <c r="D31" s="16"/>
      <c r="E31" s="16"/>
      <c r="F31" s="16" t="s">
        <v>69</v>
      </c>
      <c r="G31" s="7"/>
      <c r="H31" s="8"/>
      <c r="I31" s="8"/>
      <c r="J31" s="120">
        <f>H31*I31</f>
        <v>0</v>
      </c>
      <c r="K31" s="198"/>
      <c r="L31" s="199"/>
    </row>
    <row r="32" spans="2:12" x14ac:dyDescent="0.3">
      <c r="B32" s="204" t="s">
        <v>46</v>
      </c>
      <c r="C32" s="205"/>
      <c r="D32" s="16"/>
      <c r="E32" s="16"/>
      <c r="F32" s="16" t="s">
        <v>69</v>
      </c>
      <c r="G32" s="7"/>
      <c r="H32" s="8"/>
      <c r="I32" s="8"/>
      <c r="J32" s="120">
        <f>H32*I32</f>
        <v>0</v>
      </c>
      <c r="K32" s="198"/>
      <c r="L32" s="199"/>
    </row>
    <row r="33" spans="2:12" x14ac:dyDescent="0.3">
      <c r="B33" s="204" t="s">
        <v>47</v>
      </c>
      <c r="C33" s="205"/>
      <c r="D33" s="16"/>
      <c r="E33" s="16"/>
      <c r="F33" s="16" t="s">
        <v>69</v>
      </c>
      <c r="G33" s="7"/>
      <c r="H33" s="8"/>
      <c r="I33" s="8"/>
      <c r="J33" s="120">
        <f>H33*I33</f>
        <v>0</v>
      </c>
      <c r="K33" s="198"/>
      <c r="L33" s="199"/>
    </row>
    <row r="34" spans="2:12" x14ac:dyDescent="0.3">
      <c r="J34" s="122">
        <f>SUM(J31:J33)</f>
        <v>0</v>
      </c>
      <c r="K34" t="s">
        <v>3</v>
      </c>
    </row>
    <row r="35" spans="2:12" x14ac:dyDescent="0.3">
      <c r="J35" s="122"/>
    </row>
    <row r="36" spans="2:12" ht="15" customHeight="1" x14ac:dyDescent="0.3">
      <c r="B36" s="223" t="s">
        <v>142</v>
      </c>
      <c r="C36" s="224"/>
      <c r="D36" s="206" t="s">
        <v>138</v>
      </c>
      <c r="E36" s="103"/>
      <c r="F36" s="208" t="s">
        <v>192</v>
      </c>
      <c r="G36" s="181" t="s">
        <v>0</v>
      </c>
      <c r="H36" s="3" t="s">
        <v>1</v>
      </c>
      <c r="I36" s="3" t="s">
        <v>2</v>
      </c>
      <c r="J36" s="4" t="s">
        <v>193</v>
      </c>
      <c r="K36" s="190" t="s">
        <v>136</v>
      </c>
      <c r="L36" s="190"/>
    </row>
    <row r="37" spans="2:12" ht="29.25" customHeight="1" x14ac:dyDescent="0.3">
      <c r="B37" s="225"/>
      <c r="C37" s="226"/>
      <c r="D37" s="207"/>
      <c r="E37" s="104"/>
      <c r="F37" s="209"/>
      <c r="G37" s="182"/>
      <c r="H37" s="5" t="s">
        <v>4</v>
      </c>
      <c r="I37" s="5" t="s">
        <v>5</v>
      </c>
      <c r="J37" s="5" t="s">
        <v>6</v>
      </c>
      <c r="K37" s="190"/>
      <c r="L37" s="190"/>
    </row>
    <row r="38" spans="2:12" x14ac:dyDescent="0.3">
      <c r="B38" s="204" t="s">
        <v>45</v>
      </c>
      <c r="C38" s="205"/>
      <c r="D38" s="16"/>
      <c r="E38" s="16"/>
      <c r="F38" s="16" t="s">
        <v>69</v>
      </c>
      <c r="G38" s="7"/>
      <c r="H38" s="8"/>
      <c r="I38" s="8"/>
      <c r="J38" s="120">
        <f>H38*I38</f>
        <v>0</v>
      </c>
      <c r="K38" s="198"/>
      <c r="L38" s="199"/>
    </row>
    <row r="39" spans="2:12" x14ac:dyDescent="0.3">
      <c r="B39" s="204" t="s">
        <v>46</v>
      </c>
      <c r="C39" s="205"/>
      <c r="D39" s="16"/>
      <c r="E39" s="16"/>
      <c r="F39" s="16" t="s">
        <v>69</v>
      </c>
      <c r="G39" s="7"/>
      <c r="H39" s="8"/>
      <c r="I39" s="8"/>
      <c r="J39" s="120">
        <f>H39*I39</f>
        <v>0</v>
      </c>
      <c r="K39" s="198"/>
      <c r="L39" s="199"/>
    </row>
    <row r="40" spans="2:12" x14ac:dyDescent="0.3">
      <c r="B40" s="204" t="s">
        <v>47</v>
      </c>
      <c r="C40" s="205"/>
      <c r="D40" s="16"/>
      <c r="E40" s="16"/>
      <c r="F40" s="16" t="s">
        <v>69</v>
      </c>
      <c r="G40" s="7"/>
      <c r="H40" s="8"/>
      <c r="I40" s="8"/>
      <c r="J40" s="120">
        <f>H40*I40</f>
        <v>0</v>
      </c>
      <c r="K40" s="198"/>
      <c r="L40" s="199"/>
    </row>
    <row r="41" spans="2:12" x14ac:dyDescent="0.3">
      <c r="J41" s="122">
        <f>SUM(J38:J40)</f>
        <v>0</v>
      </c>
      <c r="K41" t="s">
        <v>3</v>
      </c>
    </row>
    <row r="42" spans="2:12" x14ac:dyDescent="0.3">
      <c r="J42" s="122"/>
    </row>
    <row r="43" spans="2:12" x14ac:dyDescent="0.3">
      <c r="B43" s="200" t="s">
        <v>79</v>
      </c>
      <c r="C43" s="201"/>
      <c r="D43" s="217" t="s">
        <v>138</v>
      </c>
      <c r="E43" s="218"/>
      <c r="F43" s="219"/>
      <c r="G43" s="181" t="s">
        <v>0</v>
      </c>
      <c r="H43" s="3" t="s">
        <v>1</v>
      </c>
      <c r="I43" s="3" t="s">
        <v>2</v>
      </c>
      <c r="J43" s="4" t="s">
        <v>135</v>
      </c>
      <c r="K43" s="190" t="s">
        <v>136</v>
      </c>
      <c r="L43" s="190"/>
    </row>
    <row r="44" spans="2:12" x14ac:dyDescent="0.3">
      <c r="B44" s="202"/>
      <c r="C44" s="203"/>
      <c r="D44" s="152"/>
      <c r="E44" s="220"/>
      <c r="F44" s="221"/>
      <c r="G44" s="182"/>
      <c r="H44" s="5" t="s">
        <v>4</v>
      </c>
      <c r="I44" s="5" t="s">
        <v>5</v>
      </c>
      <c r="J44" s="5" t="s">
        <v>6</v>
      </c>
      <c r="K44" s="190"/>
      <c r="L44" s="190"/>
    </row>
    <row r="45" spans="2:12" x14ac:dyDescent="0.3">
      <c r="B45" s="204" t="s">
        <v>45</v>
      </c>
      <c r="C45" s="205"/>
      <c r="D45" s="214"/>
      <c r="E45" s="215"/>
      <c r="F45" s="216"/>
      <c r="G45" s="7"/>
      <c r="H45" s="8"/>
      <c r="I45" s="8"/>
      <c r="J45" s="120">
        <f>H45*I45</f>
        <v>0</v>
      </c>
      <c r="K45" s="198"/>
      <c r="L45" s="199"/>
    </row>
    <row r="46" spans="2:12" x14ac:dyDescent="0.3">
      <c r="B46" s="204" t="s">
        <v>45</v>
      </c>
      <c r="C46" s="205"/>
      <c r="D46" s="214"/>
      <c r="E46" s="215"/>
      <c r="F46" s="216"/>
      <c r="G46" s="7"/>
      <c r="H46" s="8"/>
      <c r="I46" s="8"/>
      <c r="J46" s="120">
        <f>H46*I46</f>
        <v>0</v>
      </c>
      <c r="K46" s="198"/>
      <c r="L46" s="199"/>
    </row>
    <row r="47" spans="2:12" x14ac:dyDescent="0.3">
      <c r="B47" s="204" t="s">
        <v>45</v>
      </c>
      <c r="C47" s="205"/>
      <c r="D47" s="214"/>
      <c r="E47" s="215"/>
      <c r="F47" s="216"/>
      <c r="G47" s="7"/>
      <c r="H47" s="8"/>
      <c r="I47" s="8"/>
      <c r="J47" s="120">
        <f>H47*I47</f>
        <v>0</v>
      </c>
      <c r="K47" s="198"/>
      <c r="L47" s="199"/>
    </row>
    <row r="48" spans="2:12" x14ac:dyDescent="0.3">
      <c r="J48" s="122">
        <f>SUM(J45:J47)</f>
        <v>0</v>
      </c>
    </row>
    <row r="49" spans="2:10" x14ac:dyDescent="0.3">
      <c r="J49" s="122"/>
    </row>
    <row r="50" spans="2:10" ht="15.6" x14ac:dyDescent="0.3">
      <c r="B50" s="55" t="s">
        <v>145</v>
      </c>
      <c r="J50" s="57">
        <f>ROUND(J4*0.07,2)</f>
        <v>0</v>
      </c>
    </row>
    <row r="52" spans="2:10" ht="15.6" x14ac:dyDescent="0.3">
      <c r="B52" s="58" t="s">
        <v>143</v>
      </c>
      <c r="C52" s="59"/>
      <c r="D52" s="59"/>
      <c r="E52" s="59"/>
      <c r="F52" s="59"/>
      <c r="G52" s="59"/>
      <c r="H52" s="59"/>
      <c r="I52" s="59"/>
      <c r="J52" s="60">
        <f>J50+J4</f>
        <v>0</v>
      </c>
    </row>
    <row r="54" spans="2:10" x14ac:dyDescent="0.3">
      <c r="B54" t="s">
        <v>140</v>
      </c>
    </row>
    <row r="55" spans="2:10" x14ac:dyDescent="0.3">
      <c r="B55" t="s">
        <v>139</v>
      </c>
    </row>
    <row r="56" spans="2:10" x14ac:dyDescent="0.3">
      <c r="B56" t="s">
        <v>3</v>
      </c>
    </row>
  </sheetData>
  <mergeCells count="78">
    <mergeCell ref="F36:F37"/>
    <mergeCell ref="G36:G37"/>
    <mergeCell ref="G29:G30"/>
    <mergeCell ref="G22:G23"/>
    <mergeCell ref="B12:B13"/>
    <mergeCell ref="E12:E13"/>
    <mergeCell ref="B31:C31"/>
    <mergeCell ref="B32:C32"/>
    <mergeCell ref="B33:C33"/>
    <mergeCell ref="B36:C37"/>
    <mergeCell ref="D36:D37"/>
    <mergeCell ref="K43:L44"/>
    <mergeCell ref="B45:C45"/>
    <mergeCell ref="D45:F45"/>
    <mergeCell ref="K45:L45"/>
    <mergeCell ref="K38:L38"/>
    <mergeCell ref="K39:L39"/>
    <mergeCell ref="K40:L40"/>
    <mergeCell ref="B38:C38"/>
    <mergeCell ref="B39:C39"/>
    <mergeCell ref="B40:C40"/>
    <mergeCell ref="B43:C44"/>
    <mergeCell ref="D43:F44"/>
    <mergeCell ref="G43:G44"/>
    <mergeCell ref="K36:L37"/>
    <mergeCell ref="K31:L31"/>
    <mergeCell ref="K32:L32"/>
    <mergeCell ref="B16:C17"/>
    <mergeCell ref="B18:C18"/>
    <mergeCell ref="B19:C19"/>
    <mergeCell ref="B20:C20"/>
    <mergeCell ref="F22:F23"/>
    <mergeCell ref="D16:F17"/>
    <mergeCell ref="D18:F18"/>
    <mergeCell ref="D19:F19"/>
    <mergeCell ref="D20:F20"/>
    <mergeCell ref="D22:D23"/>
    <mergeCell ref="K33:L33"/>
    <mergeCell ref="K25:L25"/>
    <mergeCell ref="K26:L26"/>
    <mergeCell ref="K47:L47"/>
    <mergeCell ref="B46:C46"/>
    <mergeCell ref="D46:F46"/>
    <mergeCell ref="K46:L46"/>
    <mergeCell ref="B47:C47"/>
    <mergeCell ref="D47:F47"/>
    <mergeCell ref="K29:L30"/>
    <mergeCell ref="D29:D30"/>
    <mergeCell ref="F29:F30"/>
    <mergeCell ref="B29:C30"/>
    <mergeCell ref="B25:C25"/>
    <mergeCell ref="B26:C26"/>
    <mergeCell ref="K22:L23"/>
    <mergeCell ref="K24:L24"/>
    <mergeCell ref="B22:C23"/>
    <mergeCell ref="B24:C24"/>
    <mergeCell ref="K16:L17"/>
    <mergeCell ref="K18:L18"/>
    <mergeCell ref="G16:G17"/>
    <mergeCell ref="K19:L19"/>
    <mergeCell ref="K20:L20"/>
    <mergeCell ref="K12:K13"/>
    <mergeCell ref="B8:B9"/>
    <mergeCell ref="E8:E9"/>
    <mergeCell ref="K8:K9"/>
    <mergeCell ref="B10:B11"/>
    <mergeCell ref="E10:E11"/>
    <mergeCell ref="K10:K11"/>
    <mergeCell ref="C8:D9"/>
    <mergeCell ref="C10:D11"/>
    <mergeCell ref="C12:D13"/>
    <mergeCell ref="K6:L7"/>
    <mergeCell ref="B2:L2"/>
    <mergeCell ref="F6:F7"/>
    <mergeCell ref="B6:B7"/>
    <mergeCell ref="E6:E7"/>
    <mergeCell ref="G6:G7"/>
    <mergeCell ref="C6:D7"/>
  </mergeCells>
  <phoneticPr fontId="5" type="noConversion"/>
  <dataValidations count="2">
    <dataValidation type="list" allowBlank="1" showInputMessage="1" showErrorMessage="1" sqref="E10:E13" xr:uid="{722E7D16-5CAC-4389-A5E6-3DD263B39797}">
      <formula1>$O$3:$O$3</formula1>
    </dataValidation>
    <dataValidation type="list" allowBlank="1" showInputMessage="1" showErrorMessage="1" sqref="F24:F26 F31:F33 F38:F40 E8:E9" xr:uid="{37E3C668-2B00-4A97-9943-3C73864808C7}">
      <formula1>$N$7:$N$8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A5D8-1C05-4493-9704-36B345EB1F71}">
  <dimension ref="A1:M56"/>
  <sheetViews>
    <sheetView zoomScale="107" zoomScaleNormal="107" workbookViewId="0">
      <selection activeCell="D7" sqref="D7:D8"/>
    </sheetView>
  </sheetViews>
  <sheetFormatPr defaultRowHeight="14.4" x14ac:dyDescent="0.3"/>
  <cols>
    <col min="2" max="2" width="23.6640625" customWidth="1"/>
    <col min="3" max="3" width="17.33203125" customWidth="1"/>
    <col min="4" max="4" width="17.109375" customWidth="1"/>
    <col min="5" max="5" width="19.33203125" customWidth="1"/>
    <col min="6" max="6" width="15.33203125" customWidth="1"/>
    <col min="7" max="7" width="13.88671875" customWidth="1"/>
    <col min="8" max="8" width="13.33203125" customWidth="1"/>
    <col min="9" max="9" width="15.109375" customWidth="1"/>
    <col min="10" max="10" width="27.6640625" customWidth="1"/>
    <col min="11" max="11" width="37.6640625" customWidth="1"/>
    <col min="12" max="12" width="49.5546875" customWidth="1"/>
  </cols>
  <sheetData>
    <row r="1" spans="1:13" x14ac:dyDescent="0.3">
      <c r="B1" s="15" t="s">
        <v>147</v>
      </c>
    </row>
    <row r="2" spans="1:13" x14ac:dyDescent="0.3">
      <c r="B2" s="193" t="s">
        <v>73</v>
      </c>
      <c r="C2" s="193"/>
      <c r="D2" s="193"/>
      <c r="E2" s="193"/>
      <c r="F2" s="193"/>
      <c r="G2" s="193"/>
      <c r="H2" s="193"/>
      <c r="I2" s="193"/>
      <c r="J2" s="193"/>
      <c r="K2" s="11"/>
      <c r="L2" s="11"/>
    </row>
    <row r="5" spans="1:13" ht="15.6" x14ac:dyDescent="0.3">
      <c r="B5" s="124" t="s">
        <v>35</v>
      </c>
      <c r="I5" s="123">
        <f>I15+I22+I28+I35+I42+I49</f>
        <v>0</v>
      </c>
      <c r="J5" s="122"/>
    </row>
    <row r="6" spans="1:13" x14ac:dyDescent="0.3">
      <c r="J6" s="123"/>
    </row>
    <row r="7" spans="1:13" ht="22.5" customHeight="1" x14ac:dyDescent="0.3">
      <c r="B7" s="194" t="s">
        <v>15</v>
      </c>
      <c r="C7" s="177" t="s">
        <v>134</v>
      </c>
      <c r="D7" s="179" t="s">
        <v>16</v>
      </c>
      <c r="E7" s="179" t="s">
        <v>205</v>
      </c>
      <c r="F7" s="181" t="s">
        <v>0</v>
      </c>
      <c r="G7" s="3" t="s">
        <v>1</v>
      </c>
      <c r="H7" s="3" t="s">
        <v>195</v>
      </c>
      <c r="I7" s="4" t="s">
        <v>193</v>
      </c>
      <c r="J7" s="190" t="s">
        <v>18</v>
      </c>
      <c r="K7" s="190"/>
    </row>
    <row r="8" spans="1:13" x14ac:dyDescent="0.3">
      <c r="B8" s="194"/>
      <c r="C8" s="178"/>
      <c r="D8" s="180"/>
      <c r="E8" s="180"/>
      <c r="F8" s="182"/>
      <c r="G8" s="5" t="s">
        <v>4</v>
      </c>
      <c r="H8" s="5" t="s">
        <v>5</v>
      </c>
      <c r="I8" s="5" t="s">
        <v>6</v>
      </c>
      <c r="J8" s="190"/>
      <c r="K8" s="190"/>
      <c r="M8" t="s">
        <v>69</v>
      </c>
    </row>
    <row r="9" spans="1:13" s="6" customFormat="1" ht="66" customHeight="1" x14ac:dyDescent="0.3">
      <c r="A9" s="1"/>
      <c r="B9" s="183" t="s">
        <v>8</v>
      </c>
      <c r="C9" s="185"/>
      <c r="D9" s="185" t="s">
        <v>122</v>
      </c>
      <c r="E9" s="73" t="s">
        <v>130</v>
      </c>
      <c r="F9" s="113" t="s">
        <v>17</v>
      </c>
      <c r="G9" s="10"/>
      <c r="H9" s="110"/>
      <c r="I9" s="120">
        <f>ROUND(G9*H9,2)</f>
        <v>0</v>
      </c>
      <c r="J9" s="171" t="s">
        <v>132</v>
      </c>
      <c r="K9" s="73" t="s">
        <v>127</v>
      </c>
      <c r="L9"/>
      <c r="M9" s="6" t="s">
        <v>70</v>
      </c>
    </row>
    <row r="10" spans="1:13" s="6" customFormat="1" ht="30.75" customHeight="1" x14ac:dyDescent="0.3">
      <c r="A10" s="1"/>
      <c r="B10" s="184"/>
      <c r="C10" s="186"/>
      <c r="D10" s="186"/>
      <c r="E10" s="107" t="s">
        <v>131</v>
      </c>
      <c r="F10" s="116" t="s">
        <v>129</v>
      </c>
      <c r="G10" s="10"/>
      <c r="H10" s="10"/>
      <c r="I10" s="120">
        <f t="shared" ref="I10:I14" si="0">ROUND(G10*H10,2)</f>
        <v>0</v>
      </c>
      <c r="J10" s="172"/>
      <c r="K10" s="73" t="s">
        <v>128</v>
      </c>
      <c r="L10"/>
    </row>
    <row r="11" spans="1:13" s="6" customFormat="1" ht="58.2" customHeight="1" x14ac:dyDescent="0.3">
      <c r="A11" s="1"/>
      <c r="B11" s="183" t="s">
        <v>9</v>
      </c>
      <c r="C11" s="185"/>
      <c r="D11" s="185" t="s">
        <v>122</v>
      </c>
      <c r="E11" s="73" t="s">
        <v>130</v>
      </c>
      <c r="F11" s="113" t="s">
        <v>17</v>
      </c>
      <c r="G11" s="10"/>
      <c r="H11" s="110"/>
      <c r="I11" s="120">
        <f t="shared" si="0"/>
        <v>0</v>
      </c>
      <c r="J11" s="171" t="s">
        <v>74</v>
      </c>
      <c r="K11" s="73" t="s">
        <v>127</v>
      </c>
    </row>
    <row r="12" spans="1:13" s="6" customFormat="1" ht="27.6" x14ac:dyDescent="0.3">
      <c r="A12" s="1"/>
      <c r="B12" s="184"/>
      <c r="C12" s="186"/>
      <c r="D12" s="186"/>
      <c r="E12" s="107" t="s">
        <v>131</v>
      </c>
      <c r="F12" s="116" t="s">
        <v>129</v>
      </c>
      <c r="G12" s="10"/>
      <c r="H12" s="10"/>
      <c r="I12" s="120">
        <f t="shared" si="0"/>
        <v>0</v>
      </c>
      <c r="J12" s="172"/>
      <c r="K12" s="73" t="s">
        <v>128</v>
      </c>
    </row>
    <row r="13" spans="1:13" s="6" customFormat="1" ht="55.5" customHeight="1" x14ac:dyDescent="0.3">
      <c r="A13" s="1"/>
      <c r="B13" s="222" t="s">
        <v>10</v>
      </c>
      <c r="C13" s="197"/>
      <c r="D13" s="197" t="s">
        <v>122</v>
      </c>
      <c r="E13" s="73" t="s">
        <v>130</v>
      </c>
      <c r="F13" s="113" t="s">
        <v>17</v>
      </c>
      <c r="G13" s="10"/>
      <c r="H13" s="111"/>
      <c r="I13" s="120">
        <f t="shared" si="0"/>
        <v>0</v>
      </c>
      <c r="J13" s="196" t="s">
        <v>74</v>
      </c>
      <c r="K13" s="73" t="s">
        <v>127</v>
      </c>
    </row>
    <row r="14" spans="1:13" s="6" customFormat="1" ht="27.6" x14ac:dyDescent="0.3">
      <c r="A14" s="1"/>
      <c r="B14" s="222"/>
      <c r="C14" s="197"/>
      <c r="D14" s="197"/>
      <c r="E14" s="9" t="s">
        <v>131</v>
      </c>
      <c r="F14" s="121" t="s">
        <v>129</v>
      </c>
      <c r="G14" s="10"/>
      <c r="H14" s="10"/>
      <c r="I14" s="120">
        <f t="shared" si="0"/>
        <v>0</v>
      </c>
      <c r="J14" s="196"/>
      <c r="K14" s="73" t="s">
        <v>128</v>
      </c>
    </row>
    <row r="15" spans="1:13" x14ac:dyDescent="0.3">
      <c r="I15" s="122">
        <f>SUM(I9:I14)</f>
        <v>0</v>
      </c>
    </row>
    <row r="16" spans="1:13" x14ac:dyDescent="0.3">
      <c r="J16" s="123"/>
    </row>
    <row r="17" spans="2:11" x14ac:dyDescent="0.3">
      <c r="B17" s="200" t="s">
        <v>29</v>
      </c>
      <c r="C17" s="201"/>
      <c r="D17" s="217" t="s">
        <v>138</v>
      </c>
      <c r="E17" s="219"/>
      <c r="F17" s="181" t="s">
        <v>0</v>
      </c>
      <c r="G17" s="3" t="s">
        <v>1</v>
      </c>
      <c r="H17" s="3" t="s">
        <v>2</v>
      </c>
      <c r="I17" s="4" t="s">
        <v>193</v>
      </c>
      <c r="J17" s="190" t="s">
        <v>194</v>
      </c>
      <c r="K17" s="190"/>
    </row>
    <row r="18" spans="2:11" x14ac:dyDescent="0.3">
      <c r="B18" s="202"/>
      <c r="C18" s="203"/>
      <c r="D18" s="152"/>
      <c r="E18" s="221"/>
      <c r="F18" s="182"/>
      <c r="G18" s="5" t="s">
        <v>4</v>
      </c>
      <c r="H18" s="5" t="s">
        <v>5</v>
      </c>
      <c r="I18" s="5" t="s">
        <v>6</v>
      </c>
      <c r="J18" s="190"/>
      <c r="K18" s="190"/>
    </row>
    <row r="19" spans="2:11" x14ac:dyDescent="0.3">
      <c r="B19" s="204" t="s">
        <v>137</v>
      </c>
      <c r="C19" s="205"/>
      <c r="D19" s="214"/>
      <c r="E19" s="216"/>
      <c r="F19" s="7"/>
      <c r="G19" s="8"/>
      <c r="H19" s="8"/>
      <c r="I19" s="120">
        <f>G19*H19</f>
        <v>0</v>
      </c>
      <c r="J19" s="198"/>
      <c r="K19" s="199"/>
    </row>
    <row r="20" spans="2:11" x14ac:dyDescent="0.3">
      <c r="B20" s="204" t="s">
        <v>137</v>
      </c>
      <c r="C20" s="205"/>
      <c r="D20" s="214"/>
      <c r="E20" s="216"/>
      <c r="F20" s="7"/>
      <c r="G20" s="8"/>
      <c r="H20" s="8"/>
      <c r="I20" s="120">
        <f>G20*H20</f>
        <v>0</v>
      </c>
      <c r="J20" s="198"/>
      <c r="K20" s="199"/>
    </row>
    <row r="21" spans="2:11" x14ac:dyDescent="0.3">
      <c r="B21" s="204" t="s">
        <v>137</v>
      </c>
      <c r="C21" s="205"/>
      <c r="D21" s="214"/>
      <c r="E21" s="216"/>
      <c r="F21" s="7"/>
      <c r="G21" s="8"/>
      <c r="H21" s="8"/>
      <c r="I21" s="120">
        <f>G21*H21</f>
        <v>0</v>
      </c>
      <c r="J21" s="198"/>
      <c r="K21" s="199"/>
    </row>
    <row r="22" spans="2:11" x14ac:dyDescent="0.3">
      <c r="I22" s="122">
        <f>SUM(I19:I21)</f>
        <v>0</v>
      </c>
    </row>
    <row r="23" spans="2:11" ht="15" customHeight="1" x14ac:dyDescent="0.3">
      <c r="B23" s="200" t="s">
        <v>31</v>
      </c>
      <c r="C23" s="201"/>
      <c r="D23" s="206" t="s">
        <v>138</v>
      </c>
      <c r="E23" s="208" t="s">
        <v>192</v>
      </c>
      <c r="F23" s="181" t="s">
        <v>0</v>
      </c>
      <c r="G23" s="3" t="s">
        <v>1</v>
      </c>
      <c r="H23" s="3" t="s">
        <v>2</v>
      </c>
      <c r="I23" s="4" t="s">
        <v>135</v>
      </c>
      <c r="J23" s="190" t="s">
        <v>194</v>
      </c>
      <c r="K23" s="190"/>
    </row>
    <row r="24" spans="2:11" x14ac:dyDescent="0.3">
      <c r="B24" s="202"/>
      <c r="C24" s="203"/>
      <c r="D24" s="207"/>
      <c r="E24" s="209"/>
      <c r="F24" s="182"/>
      <c r="G24" s="5" t="s">
        <v>4</v>
      </c>
      <c r="H24" s="5" t="s">
        <v>5</v>
      </c>
      <c r="I24" s="5" t="s">
        <v>6</v>
      </c>
      <c r="J24" s="190"/>
      <c r="K24" s="190"/>
    </row>
    <row r="25" spans="2:11" x14ac:dyDescent="0.3">
      <c r="B25" s="204" t="s">
        <v>45</v>
      </c>
      <c r="C25" s="205"/>
      <c r="D25" s="16"/>
      <c r="E25" s="16" t="s">
        <v>69</v>
      </c>
      <c r="F25" s="7"/>
      <c r="G25" s="8"/>
      <c r="H25" s="8"/>
      <c r="I25" s="120">
        <f>G25*H25</f>
        <v>0</v>
      </c>
      <c r="J25" s="198"/>
      <c r="K25" s="199"/>
    </row>
    <row r="26" spans="2:11" x14ac:dyDescent="0.3">
      <c r="B26" s="204" t="s">
        <v>46</v>
      </c>
      <c r="C26" s="205"/>
      <c r="D26" s="16"/>
      <c r="E26" s="16"/>
      <c r="F26" s="7"/>
      <c r="G26" s="8"/>
      <c r="H26" s="8"/>
      <c r="I26" s="120">
        <f>G26*H26</f>
        <v>0</v>
      </c>
      <c r="J26" s="198"/>
      <c r="K26" s="199"/>
    </row>
    <row r="27" spans="2:11" x14ac:dyDescent="0.3">
      <c r="B27" s="214" t="s">
        <v>47</v>
      </c>
      <c r="C27" s="216"/>
      <c r="D27" s="16"/>
      <c r="E27" s="16"/>
      <c r="F27" s="7"/>
      <c r="G27" s="8"/>
      <c r="H27" s="8"/>
      <c r="I27" s="120">
        <f>G27*H27</f>
        <v>0</v>
      </c>
      <c r="J27" s="198"/>
      <c r="K27" s="199"/>
    </row>
    <row r="28" spans="2:11" x14ac:dyDescent="0.3">
      <c r="I28" s="122">
        <f>SUM(I25:I27)</f>
        <v>0</v>
      </c>
    </row>
    <row r="29" spans="2:11" x14ac:dyDescent="0.3">
      <c r="I29" s="122"/>
    </row>
    <row r="30" spans="2:11" ht="22.5" customHeight="1" x14ac:dyDescent="0.3">
      <c r="B30" s="223" t="s">
        <v>141</v>
      </c>
      <c r="C30" s="224"/>
      <c r="D30" s="206" t="s">
        <v>138</v>
      </c>
      <c r="E30" s="208" t="s">
        <v>192</v>
      </c>
      <c r="F30" s="181" t="s">
        <v>0</v>
      </c>
      <c r="G30" s="3" t="s">
        <v>1</v>
      </c>
      <c r="H30" s="3" t="s">
        <v>2</v>
      </c>
      <c r="I30" s="4" t="s">
        <v>193</v>
      </c>
      <c r="J30" s="190" t="s">
        <v>194</v>
      </c>
      <c r="K30" s="190"/>
    </row>
    <row r="31" spans="2:11" ht="28.95" customHeight="1" x14ac:dyDescent="0.3">
      <c r="B31" s="225"/>
      <c r="C31" s="226"/>
      <c r="D31" s="207"/>
      <c r="E31" s="209"/>
      <c r="F31" s="182"/>
      <c r="G31" s="5" t="s">
        <v>4</v>
      </c>
      <c r="H31" s="5" t="s">
        <v>5</v>
      </c>
      <c r="I31" s="5" t="s">
        <v>6</v>
      </c>
      <c r="J31" s="190"/>
      <c r="K31" s="190"/>
    </row>
    <row r="32" spans="2:11" x14ac:dyDescent="0.3">
      <c r="B32" s="204" t="s">
        <v>45</v>
      </c>
      <c r="C32" s="205"/>
      <c r="D32" s="16"/>
      <c r="E32" s="16" t="s">
        <v>69</v>
      </c>
      <c r="F32" s="7"/>
      <c r="G32" s="8"/>
      <c r="H32" s="8"/>
      <c r="I32" s="120">
        <f>G32*H32</f>
        <v>0</v>
      </c>
      <c r="J32" s="198"/>
      <c r="K32" s="199"/>
    </row>
    <row r="33" spans="2:11" x14ac:dyDescent="0.3">
      <c r="B33" s="204" t="s">
        <v>46</v>
      </c>
      <c r="C33" s="205"/>
      <c r="D33" s="16"/>
      <c r="E33" s="16"/>
      <c r="F33" s="7"/>
      <c r="G33" s="8"/>
      <c r="H33" s="8"/>
      <c r="I33" s="120">
        <f>G33*H33</f>
        <v>0</v>
      </c>
      <c r="J33" s="198"/>
      <c r="K33" s="199"/>
    </row>
    <row r="34" spans="2:11" x14ac:dyDescent="0.3">
      <c r="B34" s="204" t="s">
        <v>47</v>
      </c>
      <c r="C34" s="205"/>
      <c r="D34" s="16"/>
      <c r="E34" s="16"/>
      <c r="F34" s="7"/>
      <c r="G34" s="8"/>
      <c r="H34" s="8"/>
      <c r="I34" s="120">
        <f>G34*H34</f>
        <v>0</v>
      </c>
      <c r="J34" s="198"/>
      <c r="K34" s="199"/>
    </row>
    <row r="35" spans="2:11" x14ac:dyDescent="0.3">
      <c r="I35" s="122">
        <f>SUM(I32:I34)</f>
        <v>0</v>
      </c>
      <c r="J35" t="s">
        <v>3</v>
      </c>
    </row>
    <row r="36" spans="2:11" x14ac:dyDescent="0.3">
      <c r="I36" s="122"/>
    </row>
    <row r="37" spans="2:11" ht="22.5" customHeight="1" x14ac:dyDescent="0.3">
      <c r="B37" s="223" t="s">
        <v>142</v>
      </c>
      <c r="C37" s="224"/>
      <c r="D37" s="206" t="s">
        <v>138</v>
      </c>
      <c r="E37" s="208" t="s">
        <v>192</v>
      </c>
      <c r="F37" s="181" t="s">
        <v>0</v>
      </c>
      <c r="G37" s="3" t="s">
        <v>1</v>
      </c>
      <c r="H37" s="3" t="s">
        <v>2</v>
      </c>
      <c r="I37" s="4" t="s">
        <v>193</v>
      </c>
      <c r="J37" s="190" t="s">
        <v>194</v>
      </c>
      <c r="K37" s="190"/>
    </row>
    <row r="38" spans="2:11" x14ac:dyDescent="0.3">
      <c r="B38" s="225"/>
      <c r="C38" s="226"/>
      <c r="D38" s="207"/>
      <c r="E38" s="209"/>
      <c r="F38" s="182"/>
      <c r="G38" s="5" t="s">
        <v>4</v>
      </c>
      <c r="H38" s="5" t="s">
        <v>5</v>
      </c>
      <c r="I38" s="5" t="s">
        <v>6</v>
      </c>
      <c r="J38" s="190"/>
      <c r="K38" s="190"/>
    </row>
    <row r="39" spans="2:11" x14ac:dyDescent="0.3">
      <c r="B39" s="204" t="s">
        <v>45</v>
      </c>
      <c r="C39" s="205"/>
      <c r="D39" s="16"/>
      <c r="E39" s="16" t="s">
        <v>69</v>
      </c>
      <c r="F39" s="7"/>
      <c r="G39" s="8"/>
      <c r="H39" s="8"/>
      <c r="I39" s="120">
        <f>G39*H39</f>
        <v>0</v>
      </c>
      <c r="J39" s="198"/>
      <c r="K39" s="199"/>
    </row>
    <row r="40" spans="2:11" x14ac:dyDescent="0.3">
      <c r="B40" s="204" t="s">
        <v>46</v>
      </c>
      <c r="C40" s="205"/>
      <c r="D40" s="16"/>
      <c r="E40" s="16"/>
      <c r="F40" s="7"/>
      <c r="G40" s="8"/>
      <c r="H40" s="8"/>
      <c r="I40" s="120">
        <f>G40*H40</f>
        <v>0</v>
      </c>
      <c r="J40" s="198"/>
      <c r="K40" s="199"/>
    </row>
    <row r="41" spans="2:11" x14ac:dyDescent="0.3">
      <c r="B41" s="204" t="s">
        <v>47</v>
      </c>
      <c r="C41" s="205"/>
      <c r="D41" s="16"/>
      <c r="E41" s="16"/>
      <c r="F41" s="7"/>
      <c r="G41" s="8"/>
      <c r="H41" s="8"/>
      <c r="I41" s="120">
        <f>G41*H41</f>
        <v>0</v>
      </c>
      <c r="J41" s="198"/>
      <c r="K41" s="199"/>
    </row>
    <row r="42" spans="2:11" x14ac:dyDescent="0.3">
      <c r="I42" s="122">
        <f>SUM(I39:I41)</f>
        <v>0</v>
      </c>
      <c r="J42" t="s">
        <v>3</v>
      </c>
    </row>
    <row r="43" spans="2:11" x14ac:dyDescent="0.3">
      <c r="I43" s="122"/>
    </row>
    <row r="44" spans="2:11" ht="22.5" customHeight="1" x14ac:dyDescent="0.3">
      <c r="B44" s="200" t="s">
        <v>79</v>
      </c>
      <c r="C44" s="201"/>
      <c r="D44" s="217" t="s">
        <v>138</v>
      </c>
      <c r="E44" s="219"/>
      <c r="F44" s="181" t="s">
        <v>0</v>
      </c>
      <c r="G44" s="3" t="s">
        <v>1</v>
      </c>
      <c r="H44" s="3" t="s">
        <v>2</v>
      </c>
      <c r="I44" s="4" t="s">
        <v>135</v>
      </c>
      <c r="J44" s="190" t="s">
        <v>194</v>
      </c>
      <c r="K44" s="190"/>
    </row>
    <row r="45" spans="2:11" x14ac:dyDescent="0.3">
      <c r="B45" s="202"/>
      <c r="C45" s="203"/>
      <c r="D45" s="152"/>
      <c r="E45" s="221"/>
      <c r="F45" s="182"/>
      <c r="G45" s="5" t="s">
        <v>4</v>
      </c>
      <c r="H45" s="5" t="s">
        <v>5</v>
      </c>
      <c r="I45" s="5" t="s">
        <v>6</v>
      </c>
      <c r="J45" s="190"/>
      <c r="K45" s="190"/>
    </row>
    <row r="46" spans="2:11" x14ac:dyDescent="0.3">
      <c r="B46" s="204" t="s">
        <v>45</v>
      </c>
      <c r="C46" s="205"/>
      <c r="D46" s="214"/>
      <c r="E46" s="216"/>
      <c r="F46" s="7"/>
      <c r="G46" s="8"/>
      <c r="H46" s="8"/>
      <c r="I46" s="120">
        <f>G46*H46</f>
        <v>0</v>
      </c>
      <c r="J46" s="198"/>
      <c r="K46" s="199"/>
    </row>
    <row r="47" spans="2:11" x14ac:dyDescent="0.3">
      <c r="B47" s="204" t="s">
        <v>45</v>
      </c>
      <c r="C47" s="205"/>
      <c r="D47" s="214"/>
      <c r="E47" s="216"/>
      <c r="F47" s="7"/>
      <c r="G47" s="8"/>
      <c r="H47" s="8"/>
      <c r="I47" s="120">
        <f>G47*H47</f>
        <v>0</v>
      </c>
      <c r="J47" s="198"/>
      <c r="K47" s="199"/>
    </row>
    <row r="48" spans="2:11" x14ac:dyDescent="0.3">
      <c r="B48" s="204" t="s">
        <v>45</v>
      </c>
      <c r="C48" s="205"/>
      <c r="D48" s="214"/>
      <c r="E48" s="216"/>
      <c r="F48" s="7"/>
      <c r="G48" s="8"/>
      <c r="H48" s="8"/>
      <c r="I48" s="120">
        <f>G48*H48</f>
        <v>0</v>
      </c>
      <c r="J48" s="198"/>
      <c r="K48" s="199"/>
    </row>
    <row r="49" spans="2:9" x14ac:dyDescent="0.3">
      <c r="I49" s="122">
        <f>SUM(I46:I48)</f>
        <v>0</v>
      </c>
    </row>
    <row r="50" spans="2:9" x14ac:dyDescent="0.3">
      <c r="I50" s="122"/>
    </row>
    <row r="51" spans="2:9" ht="15.6" x14ac:dyDescent="0.3">
      <c r="B51" s="124" t="s">
        <v>144</v>
      </c>
      <c r="I51" s="122">
        <f>ROUND(I15*0.15,2)</f>
        <v>0</v>
      </c>
    </row>
    <row r="53" spans="2:9" ht="15.6" x14ac:dyDescent="0.3">
      <c r="B53" s="125" t="s">
        <v>196</v>
      </c>
      <c r="C53" s="59"/>
      <c r="D53" s="59"/>
      <c r="E53" s="59"/>
      <c r="F53" s="59"/>
      <c r="G53" s="59"/>
      <c r="H53" s="59"/>
      <c r="I53" s="126">
        <f>I51+I5</f>
        <v>0</v>
      </c>
    </row>
    <row r="55" spans="2:9" x14ac:dyDescent="0.3">
      <c r="B55" t="s">
        <v>140</v>
      </c>
    </row>
    <row r="56" spans="2:9" x14ac:dyDescent="0.3">
      <c r="B56" t="s">
        <v>159</v>
      </c>
    </row>
  </sheetData>
  <mergeCells count="78">
    <mergeCell ref="B47:C47"/>
    <mergeCell ref="D47:E47"/>
    <mergeCell ref="J47:K47"/>
    <mergeCell ref="B48:C48"/>
    <mergeCell ref="D48:E48"/>
    <mergeCell ref="J48:K48"/>
    <mergeCell ref="B44:C45"/>
    <mergeCell ref="D44:E45"/>
    <mergeCell ref="F44:F45"/>
    <mergeCell ref="J44:K45"/>
    <mergeCell ref="B46:C46"/>
    <mergeCell ref="D46:E46"/>
    <mergeCell ref="J46:K46"/>
    <mergeCell ref="B39:C39"/>
    <mergeCell ref="J39:K39"/>
    <mergeCell ref="B40:C40"/>
    <mergeCell ref="J40:K40"/>
    <mergeCell ref="B41:C41"/>
    <mergeCell ref="J41:K41"/>
    <mergeCell ref="B37:C38"/>
    <mergeCell ref="D37:D38"/>
    <mergeCell ref="E37:E38"/>
    <mergeCell ref="F37:F38"/>
    <mergeCell ref="J37:K38"/>
    <mergeCell ref="B32:C32"/>
    <mergeCell ref="J32:K32"/>
    <mergeCell ref="B33:C33"/>
    <mergeCell ref="J33:K33"/>
    <mergeCell ref="B34:C34"/>
    <mergeCell ref="J34:K34"/>
    <mergeCell ref="B30:C31"/>
    <mergeCell ref="D30:D31"/>
    <mergeCell ref="E30:E31"/>
    <mergeCell ref="F30:F31"/>
    <mergeCell ref="J30:K31"/>
    <mergeCell ref="B25:C25"/>
    <mergeCell ref="J25:K25"/>
    <mergeCell ref="B26:C26"/>
    <mergeCell ref="J26:K26"/>
    <mergeCell ref="B27:C27"/>
    <mergeCell ref="J27:K27"/>
    <mergeCell ref="B23:C24"/>
    <mergeCell ref="D23:D24"/>
    <mergeCell ref="E23:E24"/>
    <mergeCell ref="F23:F24"/>
    <mergeCell ref="J23:K24"/>
    <mergeCell ref="B20:C20"/>
    <mergeCell ref="D20:E20"/>
    <mergeCell ref="J20:K20"/>
    <mergeCell ref="B21:C21"/>
    <mergeCell ref="D21:E21"/>
    <mergeCell ref="J21:K21"/>
    <mergeCell ref="B17:C18"/>
    <mergeCell ref="D17:E18"/>
    <mergeCell ref="F17:F18"/>
    <mergeCell ref="J17:K18"/>
    <mergeCell ref="B19:C19"/>
    <mergeCell ref="D19:E19"/>
    <mergeCell ref="J19:K19"/>
    <mergeCell ref="B11:B12"/>
    <mergeCell ref="C11:C12"/>
    <mergeCell ref="D11:D12"/>
    <mergeCell ref="J11:J12"/>
    <mergeCell ref="B13:B14"/>
    <mergeCell ref="C13:C14"/>
    <mergeCell ref="D13:D14"/>
    <mergeCell ref="J13:J14"/>
    <mergeCell ref="B2:J2"/>
    <mergeCell ref="J7:K8"/>
    <mergeCell ref="B9:B10"/>
    <mergeCell ref="C9:C10"/>
    <mergeCell ref="D9:D10"/>
    <mergeCell ref="J9:J10"/>
    <mergeCell ref="B7:B8"/>
    <mergeCell ref="C7:C8"/>
    <mergeCell ref="D7:D8"/>
    <mergeCell ref="E7:E8"/>
    <mergeCell ref="F7:F8"/>
  </mergeCells>
  <dataValidations count="2">
    <dataValidation type="list" allowBlank="1" showInputMessage="1" showErrorMessage="1" sqref="E25 E39 E32" xr:uid="{47C06BDE-2E90-480B-BD29-155E228CA8E7}">
      <formula1>#REF!</formula1>
    </dataValidation>
    <dataValidation type="list" allowBlank="1" showInputMessage="1" showErrorMessage="1" sqref="D9:D14" xr:uid="{74367F63-E8E8-4A48-866C-CDA4A0DE8CEB}">
      <formula1>$N$3:$N$3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207B-7617-4246-8146-4F14D8C512EC}">
  <dimension ref="A1:K36"/>
  <sheetViews>
    <sheetView workbookViewId="0">
      <selection activeCell="H40" sqref="H40"/>
    </sheetView>
  </sheetViews>
  <sheetFormatPr defaultRowHeight="14.4" x14ac:dyDescent="0.3"/>
  <cols>
    <col min="1" max="2" width="16.6640625" customWidth="1"/>
    <col min="3" max="3" width="24.44140625" customWidth="1"/>
    <col min="4" max="4" width="12.44140625" customWidth="1"/>
    <col min="5" max="5" width="21.6640625" customWidth="1"/>
    <col min="6" max="6" width="10.109375" customWidth="1"/>
    <col min="7" max="7" width="20.33203125" customWidth="1"/>
    <col min="8" max="8" width="24.44140625" customWidth="1"/>
    <col min="9" max="9" width="17.109375" customWidth="1"/>
    <col min="10" max="10" width="20" customWidth="1"/>
  </cols>
  <sheetData>
    <row r="1" spans="1:1" x14ac:dyDescent="0.3">
      <c r="A1" s="13" t="s">
        <v>71</v>
      </c>
    </row>
    <row r="3" spans="1:1" x14ac:dyDescent="0.3">
      <c r="A3" s="26" t="s">
        <v>42</v>
      </c>
    </row>
    <row r="5" spans="1:1" x14ac:dyDescent="0.3">
      <c r="A5" s="12" t="s">
        <v>15</v>
      </c>
    </row>
    <row r="6" spans="1:1" x14ac:dyDescent="0.3">
      <c r="A6" s="13"/>
    </row>
    <row r="7" spans="1:1" x14ac:dyDescent="0.3">
      <c r="A7" s="14" t="s">
        <v>172</v>
      </c>
    </row>
    <row r="8" spans="1:1" x14ac:dyDescent="0.3">
      <c r="A8" s="13"/>
    </row>
    <row r="9" spans="1:1" x14ac:dyDescent="0.3">
      <c r="A9" s="14" t="s">
        <v>167</v>
      </c>
    </row>
    <row r="10" spans="1:1" x14ac:dyDescent="0.3">
      <c r="A10" s="13"/>
    </row>
    <row r="11" spans="1:1" x14ac:dyDescent="0.3">
      <c r="A11" s="13" t="s">
        <v>11</v>
      </c>
    </row>
    <row r="12" spans="1:1" x14ac:dyDescent="0.3">
      <c r="A12" s="13"/>
    </row>
    <row r="13" spans="1:1" x14ac:dyDescent="0.3">
      <c r="A13" s="13" t="s">
        <v>12</v>
      </c>
    </row>
    <row r="14" spans="1:1" x14ac:dyDescent="0.3">
      <c r="A14" s="13"/>
    </row>
    <row r="15" spans="1:1" x14ac:dyDescent="0.3">
      <c r="A15" s="13" t="s">
        <v>13</v>
      </c>
    </row>
    <row r="16" spans="1:1" x14ac:dyDescent="0.3">
      <c r="A16" s="13"/>
    </row>
    <row r="17" spans="1:11" x14ac:dyDescent="0.3">
      <c r="A17" s="13" t="s">
        <v>14</v>
      </c>
    </row>
    <row r="18" spans="1:11" x14ac:dyDescent="0.3">
      <c r="A18" s="13"/>
    </row>
    <row r="19" spans="1:11" x14ac:dyDescent="0.3">
      <c r="A19" s="13" t="s">
        <v>72</v>
      </c>
    </row>
    <row r="21" spans="1:11" x14ac:dyDescent="0.3">
      <c r="A21" s="26"/>
    </row>
    <row r="22" spans="1:11" x14ac:dyDescent="0.3">
      <c r="A22" s="26" t="s">
        <v>43</v>
      </c>
    </row>
    <row r="23" spans="1:11" x14ac:dyDescent="0.3">
      <c r="A23" s="26"/>
    </row>
    <row r="24" spans="1:11" ht="31.2" customHeight="1" x14ac:dyDescent="0.3">
      <c r="A24" s="231" t="s">
        <v>25</v>
      </c>
      <c r="B24" s="232" t="s">
        <v>171</v>
      </c>
      <c r="C24" s="233"/>
      <c r="D24" s="233"/>
      <c r="E24" s="233"/>
      <c r="F24" s="54"/>
      <c r="G24" s="230" t="s">
        <v>152</v>
      </c>
      <c r="H24" s="230" t="s">
        <v>170</v>
      </c>
      <c r="I24" s="230" t="s">
        <v>7</v>
      </c>
      <c r="J24" s="208" t="s">
        <v>133</v>
      </c>
      <c r="K24" s="11"/>
    </row>
    <row r="25" spans="1:11" ht="111" customHeight="1" x14ac:dyDescent="0.3">
      <c r="A25" s="231"/>
      <c r="B25" s="47" t="s">
        <v>24</v>
      </c>
      <c r="C25" s="27" t="s">
        <v>201</v>
      </c>
      <c r="D25" s="27" t="s">
        <v>169</v>
      </c>
      <c r="E25" s="27" t="s">
        <v>202</v>
      </c>
      <c r="F25" s="61" t="s">
        <v>40</v>
      </c>
      <c r="G25" s="230"/>
      <c r="H25" s="230"/>
      <c r="I25" s="230"/>
      <c r="J25" s="209"/>
      <c r="K25" s="11"/>
    </row>
    <row r="26" spans="1:11" s="25" customFormat="1" ht="36" customHeight="1" x14ac:dyDescent="0.3">
      <c r="A26" s="28" t="s">
        <v>8</v>
      </c>
      <c r="B26" s="28">
        <v>2024</v>
      </c>
      <c r="C26" s="41">
        <v>25242.9</v>
      </c>
      <c r="D26" s="28">
        <v>2008</v>
      </c>
      <c r="E26" s="28">
        <v>2008</v>
      </c>
      <c r="F26" s="42">
        <f>E26/D26</f>
        <v>1</v>
      </c>
      <c r="G26" s="234" t="s">
        <v>168</v>
      </c>
      <c r="H26" s="43">
        <f>(ROUND(1720*F26,2))</f>
        <v>1720</v>
      </c>
      <c r="I26" s="41">
        <f>C26/H26</f>
        <v>14.676104651162792</v>
      </c>
      <c r="J26" s="227" t="s">
        <v>154</v>
      </c>
    </row>
    <row r="27" spans="1:11" ht="54.6" customHeight="1" x14ac:dyDescent="0.3">
      <c r="A27" s="37" t="s">
        <v>9</v>
      </c>
      <c r="B27" s="28">
        <v>2024</v>
      </c>
      <c r="C27" s="41">
        <v>33013.620000000003</v>
      </c>
      <c r="D27" s="28">
        <v>2008</v>
      </c>
      <c r="E27" s="28">
        <v>1832</v>
      </c>
      <c r="F27" s="42">
        <f>E27/D27</f>
        <v>0.91235059760956172</v>
      </c>
      <c r="G27" s="235"/>
      <c r="H27" s="43">
        <f>(ROUND(1720*F27,2))</f>
        <v>1569.24</v>
      </c>
      <c r="I27" s="41">
        <f t="shared" ref="I27:I28" si="0">C27/H27</f>
        <v>21.037967423721039</v>
      </c>
      <c r="J27" s="228"/>
    </row>
    <row r="28" spans="1:11" ht="54.6" customHeight="1" x14ac:dyDescent="0.3">
      <c r="A28" s="28" t="s">
        <v>10</v>
      </c>
      <c r="B28" s="28">
        <v>2024</v>
      </c>
      <c r="C28" s="41">
        <v>9321</v>
      </c>
      <c r="D28" s="28">
        <v>2008</v>
      </c>
      <c r="E28" s="28">
        <v>820</v>
      </c>
      <c r="F28" s="42">
        <f>E28/D28</f>
        <v>0.40836653386454186</v>
      </c>
      <c r="G28" s="236"/>
      <c r="H28" s="43">
        <f>(ROUND(1720*F28,2))</f>
        <v>702.39</v>
      </c>
      <c r="I28" s="41">
        <f t="shared" si="0"/>
        <v>13.270405330372016</v>
      </c>
      <c r="J28" s="229"/>
    </row>
    <row r="30" spans="1:11" x14ac:dyDescent="0.3">
      <c r="A30" s="26" t="s">
        <v>44</v>
      </c>
    </row>
    <row r="31" spans="1:11" s="20" customFormat="1" ht="81" customHeight="1" x14ac:dyDescent="0.3">
      <c r="A31" s="27" t="s">
        <v>25</v>
      </c>
      <c r="B31" s="27" t="s">
        <v>39</v>
      </c>
      <c r="C31" s="27" t="s">
        <v>173</v>
      </c>
      <c r="D31" s="27" t="s">
        <v>153</v>
      </c>
      <c r="E31" s="27" t="s">
        <v>175</v>
      </c>
      <c r="F31" s="27" t="s">
        <v>40</v>
      </c>
      <c r="G31" s="27" t="s">
        <v>152</v>
      </c>
      <c r="H31" s="27" t="s">
        <v>41</v>
      </c>
      <c r="I31" s="27" t="s">
        <v>7</v>
      </c>
      <c r="J31" s="27" t="s">
        <v>133</v>
      </c>
      <c r="K31" s="24"/>
    </row>
    <row r="32" spans="1:11" s="49" customFormat="1" ht="25.2" customHeight="1" x14ac:dyDescent="0.3">
      <c r="A32" s="52" t="s">
        <v>8</v>
      </c>
      <c r="B32" s="46" t="s">
        <v>28</v>
      </c>
      <c r="C32" s="45">
        <v>2097.48</v>
      </c>
      <c r="D32" s="47">
        <v>184</v>
      </c>
      <c r="E32" s="44">
        <v>184</v>
      </c>
      <c r="F32" s="48">
        <f>ROUND(E32/D32,2)</f>
        <v>1</v>
      </c>
      <c r="G32" s="208" t="s">
        <v>174</v>
      </c>
      <c r="H32" s="51">
        <f>E32</f>
        <v>184</v>
      </c>
      <c r="I32" s="50">
        <f>C32/H32</f>
        <v>11.399347826086956</v>
      </c>
      <c r="J32" s="227" t="s">
        <v>154</v>
      </c>
    </row>
    <row r="33" spans="1:10" s="49" customFormat="1" ht="25.2" customHeight="1" x14ac:dyDescent="0.3">
      <c r="A33" s="53" t="s">
        <v>9</v>
      </c>
      <c r="B33" s="46" t="s">
        <v>28</v>
      </c>
      <c r="C33" s="45">
        <v>2655.89</v>
      </c>
      <c r="D33" s="47">
        <v>184</v>
      </c>
      <c r="E33" s="47">
        <v>152</v>
      </c>
      <c r="F33" s="48">
        <f t="shared" ref="F33:F34" si="1">ROUND(E33/D33,2)</f>
        <v>0.83</v>
      </c>
      <c r="G33" s="237"/>
      <c r="H33" s="51">
        <f t="shared" ref="H33:H34" si="2">E33</f>
        <v>152</v>
      </c>
      <c r="I33" s="50">
        <f t="shared" ref="I33:I34" si="3">C33/H33</f>
        <v>17.472960526315788</v>
      </c>
      <c r="J33" s="228"/>
    </row>
    <row r="34" spans="1:10" s="49" customFormat="1" ht="25.2" customHeight="1" x14ac:dyDescent="0.3">
      <c r="A34" s="52" t="s">
        <v>10</v>
      </c>
      <c r="B34" s="46" t="s">
        <v>28</v>
      </c>
      <c r="C34" s="45">
        <v>563</v>
      </c>
      <c r="D34" s="47">
        <v>184</v>
      </c>
      <c r="E34" s="47">
        <v>68</v>
      </c>
      <c r="F34" s="48">
        <f t="shared" si="1"/>
        <v>0.37</v>
      </c>
      <c r="G34" s="209"/>
      <c r="H34" s="51">
        <f t="shared" si="2"/>
        <v>68</v>
      </c>
      <c r="I34" s="50">
        <f t="shared" si="3"/>
        <v>8.2794117647058822</v>
      </c>
      <c r="J34" s="229"/>
    </row>
    <row r="36" spans="1:10" x14ac:dyDescent="0.3">
      <c r="C36" s="23"/>
      <c r="D36" s="23"/>
    </row>
  </sheetData>
  <mergeCells count="10">
    <mergeCell ref="A24:A25"/>
    <mergeCell ref="B24:E24"/>
    <mergeCell ref="G26:G28"/>
    <mergeCell ref="G32:G34"/>
    <mergeCell ref="G24:G25"/>
    <mergeCell ref="J24:J25"/>
    <mergeCell ref="J26:J28"/>
    <mergeCell ref="J32:J34"/>
    <mergeCell ref="H24:H25"/>
    <mergeCell ref="I24:I25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6c68d7-96b4-47a7-b31a-82c440fcd5d9">
      <Terms xmlns="http://schemas.microsoft.com/office/infopath/2007/PartnerControls"/>
    </lcf76f155ced4ddcb4097134ff3c332f>
    <TaxCatchAll xmlns="1713891d-1f38-4abf-957f-f154fada17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AF10C531429174E889FC1F738D52250" ma:contentTypeVersion="11" ma:contentTypeDescription="Umožňuje vytvoriť nový dokument." ma:contentTypeScope="" ma:versionID="e8feb4d011b3de59f9466daf350ea1c0">
  <xsd:schema xmlns:xsd="http://www.w3.org/2001/XMLSchema" xmlns:xs="http://www.w3.org/2001/XMLSchema" xmlns:p="http://schemas.microsoft.com/office/2006/metadata/properties" xmlns:ns2="e86c68d7-96b4-47a7-b31a-82c440fcd5d9" xmlns:ns3="1713891d-1f38-4abf-957f-f154fada1730" targetNamespace="http://schemas.microsoft.com/office/2006/metadata/properties" ma:root="true" ma:fieldsID="54112c967eb86709d9bc6d3d918af297" ns2:_="" ns3:_="">
    <xsd:import namespace="e86c68d7-96b4-47a7-b31a-82c440fcd5d9"/>
    <xsd:import namespace="1713891d-1f38-4abf-957f-f154fada17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6c68d7-96b4-47a7-b31a-82c440fc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Značky obrázka" ma:readOnly="false" ma:fieldId="{5cf76f15-5ced-4ddc-b409-7134ff3c332f}" ma:taxonomyMulti="true" ma:sspId="faef46ba-690e-4296-948c-a84db52b61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3891d-1f38-4abf-957f-f154fada17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404ee29-92f7-4b2c-9fb4-a9950ea26ed8}" ma:internalName="TaxCatchAll" ma:showField="CatchAllData" ma:web="1713891d-1f38-4abf-957f-f154fada17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22D6C3-DA56-40E8-84D4-8B78587DD4AD}">
  <ds:schemaRefs>
    <ds:schemaRef ds:uri="http://schemas.microsoft.com/office/2006/metadata/properties"/>
    <ds:schemaRef ds:uri="http://schemas.microsoft.com/office/infopath/2007/PartnerControls"/>
    <ds:schemaRef ds:uri="e86c68d7-96b4-47a7-b31a-82c440fcd5d9"/>
    <ds:schemaRef ds:uri="1713891d-1f38-4abf-957f-f154fada1730"/>
  </ds:schemaRefs>
</ds:datastoreItem>
</file>

<file path=customXml/itemProps2.xml><?xml version="1.0" encoding="utf-8"?>
<ds:datastoreItem xmlns:ds="http://schemas.openxmlformats.org/officeDocument/2006/customXml" ds:itemID="{D9A7285A-F71C-4627-86F5-DEC1C3BD3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6c68d7-96b4-47a7-b31a-82c440fcd5d9"/>
    <ds:schemaRef ds:uri="1713891d-1f38-4abf-957f-f154fada17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9B4E50-83ED-4B9B-8A5F-23D61E1366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8</vt:i4>
      </vt:variant>
    </vt:vector>
  </HeadingPairs>
  <TitlesOfParts>
    <vt:vector size="8" baseType="lpstr">
      <vt:lpstr>kalkulačka_roz_zjed.</vt:lpstr>
      <vt:lpstr>Vysvetlenie_k_súboru avyplneniu</vt:lpstr>
      <vt:lpstr>typy_grantov</vt:lpstr>
      <vt:lpstr>kalkulačka_na typ_rozpočtu</vt:lpstr>
      <vt:lpstr>malé_granty_typ_A</vt:lpstr>
      <vt:lpstr>malé_granty_typ_B</vt:lpstr>
      <vt:lpstr>malé_granty_typ_C</vt:lpstr>
      <vt:lpstr>Kalkulácia_hodinovej sadzby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Lívia Haringová</dc:creator>
  <cp:lastModifiedBy>Lívia Haringová</cp:lastModifiedBy>
  <dcterms:created xsi:type="dcterms:W3CDTF">2025-07-14T08:11:11Z</dcterms:created>
  <dcterms:modified xsi:type="dcterms:W3CDTF">2025-08-06T09:25:54Z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0x0101004AF10C531429174E889FC1F738D52250</vt:lpwstr>
  </property>
</Properties>
</file>