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osickysamospravnykrajsk-my.sharepoint.com/personal/ondovam_vucke_sk/Documents/Pracovná plocha/Ondova_C/EU komisia_Spravodajca_NatC/Mechanizmus NatCre/Príručka pre žiadateľa/Prilohy/"/>
    </mc:Choice>
  </mc:AlternateContent>
  <xr:revisionPtr revIDLastSave="46" documentId="8_{3B78748A-8E6E-41C4-AA4F-DA64CE3D5D65}" xr6:coauthVersionLast="47" xr6:coauthVersionMax="47" xr10:uidLastSave="{D223A7CB-8E9A-4747-B879-F1E04D9992AE}"/>
  <bookViews>
    <workbookView xWindow="-28920" yWindow="-120" windowWidth="29040" windowHeight="15720" xr2:uid="{00000000-000D-0000-FFFF-FFFF00000000}"/>
  </bookViews>
  <sheets>
    <sheet name="Žiadosť" sheetId="1" r:id="rId1"/>
    <sheet name="Číselník" sheetId="2" r:id="rId2"/>
    <sheet name="Poky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2" i="1" l="1"/>
  <c r="D124" i="1"/>
  <c r="D123" i="1"/>
  <c r="D122" i="1"/>
  <c r="D112" i="1"/>
  <c r="D111" i="1"/>
  <c r="D110" i="1"/>
  <c r="D98" i="1"/>
  <c r="D97" i="1"/>
  <c r="D96" i="1"/>
  <c r="D95" i="1"/>
  <c r="D94" i="1"/>
  <c r="D16" i="1"/>
  <c r="D13" i="1"/>
  <c r="D12" i="1"/>
  <c r="D14" i="1" s="1"/>
</calcChain>
</file>

<file path=xl/sharedStrings.xml><?xml version="1.0" encoding="utf-8"?>
<sst xmlns="http://schemas.openxmlformats.org/spreadsheetml/2006/main" count="567" uniqueCount="281">
  <si>
    <t>ŽIADOSŤ O POSKYTNUTIE DOTÁCIE
Program podpory opatrení v oblasti životného prostredia KSK – 2027</t>
  </si>
  <si>
    <t>TECH_AXES</t>
  </si>
  <si>
    <t>TECH_MEASURES</t>
  </si>
  <si>
    <t>START_MEAS</t>
  </si>
  <si>
    <t>COUNT_MEAS</t>
  </si>
  <si>
    <t>Voda v krajine, sucho a povodňová odolnosť</t>
  </si>
  <si>
    <t>Biodiverzita, ekosystémy a zelená infraštruktúra</t>
  </si>
  <si>
    <t>Pôda a odolnosť poľnohospodárskej krajiny</t>
  </si>
  <si>
    <t>MEASURE_KEY</t>
  </si>
  <si>
    <t>START_IND</t>
  </si>
  <si>
    <t>COUNT_IND</t>
  </si>
  <si>
    <t>INDICATOR</t>
  </si>
  <si>
    <t>UNIT</t>
  </si>
  <si>
    <t>MEASURE</t>
  </si>
  <si>
    <t>SIDE2_KEY</t>
  </si>
  <si>
    <t>SIDE2_VALUE</t>
  </si>
  <si>
    <t>Zadržiavanie a infiltrácia vody</t>
  </si>
  <si>
    <t>Vytvorená retenčná/detenčná kapacita</t>
  </si>
  <si>
    <t>m³</t>
  </si>
  <si>
    <t>Voda v krajine, sucho a povodňová odolnosť|Biodiverzita, ekosystémy a zelená infraštruktúra</t>
  </si>
  <si>
    <t>Príloha č. 3 k Príručke pre žiadateľa | pracovný návrh elektronického formulára</t>
  </si>
  <si>
    <t>Obnova prirodzeného vodného režimu</t>
  </si>
  <si>
    <t>Plocha opatrení podporujúcich zadržanie alebo infiltráciu vody</t>
  </si>
  <si>
    <t>m² / ha</t>
  </si>
  <si>
    <t>Voda v krajine, sucho a povodňová odolnosť|Pôda a odolnosť poľnohospodárskej krajiny</t>
  </si>
  <si>
    <t>Povodňová odolnosť a spomaľovanie odtoku</t>
  </si>
  <si>
    <t>Plocha nových alebo obnovených priepustných povrchov</t>
  </si>
  <si>
    <t>m²</t>
  </si>
  <si>
    <t>Biodiverzita, ekosystémy a zelená infraštruktúra|Voda v krajine, sucho a povodňová odolnosť</t>
  </si>
  <si>
    <t>1. ZÁKLADNÉ ÚDAJE O PROJEKTE A FINANCOVANIE</t>
  </si>
  <si>
    <t>Obnova a tvorba biotopov</t>
  </si>
  <si>
    <t>Dĺžka vsakovacích pásov, priekop, rigolov a obdobných líniových opatrení</t>
  </si>
  <si>
    <t>m</t>
  </si>
  <si>
    <t>Biodiverzita, ekosystémy a zelená infraštruktúra|Pôda a odolnosť poľnohospodárskej krajiny</t>
  </si>
  <si>
    <t>Názov projektu *</t>
  </si>
  <si>
    <t>Zlepšenie ekologického stavu</t>
  </si>
  <si>
    <t>Počet vybudovaných/obnovených retenčných alebo infiltračných prvkov</t>
  </si>
  <si>
    <t>ks</t>
  </si>
  <si>
    <t>Pôda a odolnosť poľnohospodárskej krajiny|Voda v krajine, sucho a povodňová odolnosť</t>
  </si>
  <si>
    <t>Miesto realizácie – lokalita / obec / okres *</t>
  </si>
  <si>
    <t>Ekologická konektivita</t>
  </si>
  <si>
    <t>Plocha obnovenej alebo vytvorenej mokrade, nivy alebo zamokreného územia</t>
  </si>
  <si>
    <t>Pôda a odolnosť poľnohospodárskej krajiny|Biodiverzita, ekosystémy a zelená infraštruktúra</t>
  </si>
  <si>
    <t>Predpokladaný začiatok realizácie projektu *</t>
  </si>
  <si>
    <t>Protierózna ochrana</t>
  </si>
  <si>
    <t>Plocha územia s obnoveným prirodzeným vodným režimom</t>
  </si>
  <si>
    <t>Predpokladaný koniec realizácie projektu *</t>
  </si>
  <si>
    <t>Regeneratívne a pôdoochranné hospodárenie</t>
  </si>
  <si>
    <t>Dĺžka revitalizovaného vodného toku alebo riečneho ramena</t>
  </si>
  <si>
    <t>m / km</t>
  </si>
  <si>
    <t>Celkové oprávnené výdavky projektu (€) *</t>
  </si>
  <si>
    <t>Agrolesníctvo a krajinné prvky</t>
  </si>
  <si>
    <t>Počet obnovených hydrologických prepojení alebo prvkov</t>
  </si>
  <si>
    <t>Požadovaná výška dotácie z KSK (€) *</t>
  </si>
  <si>
    <t>Retenčný/detenčný objem vytvorený opatrením</t>
  </si>
  <si>
    <t>Spolufinancovanie žiadateľa (€)</t>
  </si>
  <si>
    <t>Dĺžka opatrení na spomalenie alebo rozptýlenie odtoku</t>
  </si>
  <si>
    <t>Podiel dotácie</t>
  </si>
  <si>
    <t>Plocha územia ovplyvneného prírode blízkym protipovodňovým opatrením</t>
  </si>
  <si>
    <t>Podiel spolufinancovania</t>
  </si>
  <si>
    <t>Plocha vegetačného alebo polovegetačného opevnenia brehov</t>
  </si>
  <si>
    <t>Zdroj spolufinancovania *</t>
  </si>
  <si>
    <t>Plocha obnoveného degradovaného biotopu</t>
  </si>
  <si>
    <t>Kontrola základných finančných limitov</t>
  </si>
  <si>
    <t>Plocha novovytvoreného prírodného alebo prírode blízkeho biotopu</t>
  </si>
  <si>
    <t>Celkové oprávnené výdavky = požadovaná dotácia + spolufinancovanie. Orientačne sa kontroluje minimálna dotácia 50 000 €, maximálna dotácia 300 000 €, podpora najviac 90 % a spolufinancovanie najmenej 10 %. Záväzné sú podmienky výzvy.</t>
  </si>
  <si>
    <t>Plocha obnovenej mokrade, brehovej vegetácie, sadu, lesa a pod.</t>
  </si>
  <si>
    <t>Počet vytvorených alebo obnovených hniezdnych, rozmnožovacích alebo mikrobiotopových prvkov</t>
  </si>
  <si>
    <t>2. ÚDAJE O ŽIADATEĽOVI A KONTAKTNÉ ÚDAJE</t>
  </si>
  <si>
    <t>Počet vysadených pôvodných stromov</t>
  </si>
  <si>
    <t>Názov / obchodné meno *</t>
  </si>
  <si>
    <t>Počet vysadených pôvodných krov</t>
  </si>
  <si>
    <t>Právna forma *</t>
  </si>
  <si>
    <t>Plocha novej výsadby alebo zalesnenia pôvodnými druhmi</t>
  </si>
  <si>
    <t>IČO *</t>
  </si>
  <si>
    <t>Plocha, z ktorej boli odstránené invázne nepôvodné druhy</t>
  </si>
  <si>
    <t>DIČ</t>
  </si>
  <si>
    <t>Zmena chovu – hustota hospodárskych zvierat pred a po realizácii</t>
  </si>
  <si>
    <t>DJ/ha alebo ks/ha</t>
  </si>
  <si>
    <t>IČ DPH (ak relevantné)</t>
  </si>
  <si>
    <t>Dĺžka vytvoreného alebo obnoveného ekologického koridoru, vetrolamu, aleje alebo živého plota</t>
  </si>
  <si>
    <t>Platca DPH *</t>
  </si>
  <si>
    <t>Počet vysadených stromov a krov v krajinných prvkoch</t>
  </si>
  <si>
    <t>Má žiadateľ pri výdavkoch projektu nárok na odpočítanie DPH?</t>
  </si>
  <si>
    <t>Plocha vytvorenej alebo obnovenej zelenej infraštruktúry</t>
  </si>
  <si>
    <t>Sídlo – ulica, číslo, PSČ, obec *</t>
  </si>
  <si>
    <t>Plocha vegetačných striech, stien alebo fasád</t>
  </si>
  <si>
    <t>Okres *</t>
  </si>
  <si>
    <t>Plocha vytvorenej modro-zelenej infraštruktúry</t>
  </si>
  <si>
    <t>Webové sídlo (ak existuje)</t>
  </si>
  <si>
    <t>Plocha zatrávnenej alebo inak protierózne chránenej pôdy</t>
  </si>
  <si>
    <t>ha</t>
  </si>
  <si>
    <t>Štatutárny zástupca žiadateľa</t>
  </si>
  <si>
    <t>Dĺžka vytvorených protieróznych pásov, medzí, živých plotov, hrádzok alebo terás</t>
  </si>
  <si>
    <t>Meno a priezvisko *</t>
  </si>
  <si>
    <t>Plocha pôdy s uplatneným vrstevnicovým opatrením</t>
  </si>
  <si>
    <t>Telefón *</t>
  </si>
  <si>
    <t>Plocha pôdy, na ktorej sa zmenil spôsob obrábania na pôdoochranný</t>
  </si>
  <si>
    <t>E-mail *</t>
  </si>
  <si>
    <t>Zníženie predpokladanej straty pôdy</t>
  </si>
  <si>
    <t>t/ha/rok</t>
  </si>
  <si>
    <t>Osoba zodpovedná za komunikáciu vo veci žiadosti</t>
  </si>
  <si>
    <t>Plocha pôdy s trvalým alebo sezónnym ochranným vegetačným krytom</t>
  </si>
  <si>
    <t>Plocha pôdy obhospodarovanej regeneratívnym/pôdoochranným spôsobom</t>
  </si>
  <si>
    <t>Podiel pôdy pokrytej vegetáciou v určenom období</t>
  </si>
  <si>
    <t>%</t>
  </si>
  <si>
    <t>Plocha nového alebo obnoveného agrolesníckeho systému</t>
  </si>
  <si>
    <t>Dĺžka vetrolamov, medzí, živých plotov alebo iných líniových krajinných prvkov</t>
  </si>
  <si>
    <t>3. MIESTO REALIZÁCIE, POZEMKY / NEHNUTEĽNOSTI A PRÁVNY VZŤAH</t>
  </si>
  <si>
    <t>Plocha vytvorených alebo obnovených remízok a iných plošných krajinných prvkov</t>
  </si>
  <si>
    <t>Uveďte všetky pozemky alebo nehnuteľnosti dotknuté realizáciou projektu. Žiadateľ musí mať právny vzťah umožňujúci realizáciu, prevádzku a zachovanie opatrenia počas celej doby udržateľnosti. Ak nie je vlastníkom, predkladá doklad o právnom vzťahu a podľa jeho povahy aj súhlas vlastníka.</t>
  </si>
  <si>
    <t>Počet vysadených solitérnych stromov alebo drevín</t>
  </si>
  <si>
    <t>Č.</t>
  </si>
  <si>
    <t>Katastrálne územie</t>
  </si>
  <si>
    <t>Parcelné číslo</t>
  </si>
  <si>
    <t>Register</t>
  </si>
  <si>
    <t>LV</t>
  </si>
  <si>
    <t>Vzťah žiadateľa</t>
  </si>
  <si>
    <t>Právny titul / číslo zmluvy / platnosť</t>
  </si>
  <si>
    <t>Súhlas vlastníka</t>
  </si>
  <si>
    <t>Počet alebo plocha vytvorených/obnovených pôdoochranných krajinných prvkov</t>
  </si>
  <si>
    <t>ks / m² / ha</t>
  </si>
  <si>
    <t>Výmera dotknutého územia / súčet relevantných plôch</t>
  </si>
  <si>
    <t>Súlad projektu s územným plánom obce/mesta (ak relevantné)</t>
  </si>
  <si>
    <t>4. TECHNICKÁ A POVOĽOVACIA PRIPRAVENOSŤ PROJEKTU</t>
  </si>
  <si>
    <t>Vyžaduje projekt projektovú alebo inú technickú dokumentáciu? *</t>
  </si>
  <si>
    <t>Má žiadateľ projektovú alebo inú relevantnú technickú dokumentáciu pripravenú? *</t>
  </si>
  <si>
    <t>Typ / názov projektovej alebo technickej dokumentácie (ak relevantné)</t>
  </si>
  <si>
    <t>Vyžaduje projekt povolenie, ohlásenie alebo iný doklad oprávňujúci na realizáciu? *</t>
  </si>
  <si>
    <t>Stav povoľovacieho / oznamovacieho procesu *</t>
  </si>
  <si>
    <t>Druh povolenia / ohlásenia a príslušný orgán (ak relevantné)</t>
  </si>
  <si>
    <t>Sú potrebné stanoviská, vyjadrenia alebo súhlasy dotknutých orgánov / subjektov?</t>
  </si>
  <si>
    <t>Stav stanovísk / vyjadrení / súhlasov – stručná poznámka</t>
  </si>
  <si>
    <t>Ak projektová dokumentácia nie je z povahy projektu nevyhnutná, predkladá sa minimálne situačný nákres s vysvetlením navrhovaného riešenia. Ak je povolenie alebo iný doklad potrebný, ale žiadateľ ho pri podaní žiadosti ešte nemá, preukáže začatie príslušného procesu; právoplatný doklad musí byť predložený najneskôr pred podpisom zmluvy.</t>
  </si>
  <si>
    <t>5. SKÚSENOSTI ŽIADATEĽA A OPIS PROJEKTU</t>
  </si>
  <si>
    <t>Skúsenosti žiadateľa s prípravou a realizáciou obdobných projektov za posledných 5 rokov (max. 1000 znakov)</t>
  </si>
  <si>
    <t>Uveďte projekty, aktivity a skúsenosti relevantné pre posúdenie schopnosti žiadateľa projekt úspešne zrealizovať.</t>
  </si>
  <si>
    <t>Stručný opis projektu (max. 1500 znakov)</t>
  </si>
  <si>
    <t>Zhrňte potrebu projektu, hlavný cieľ, kľúčové aktivity a očakávanú zmenu. Text môže byť použitý na základnú komunikáciu schváleného projektu.</t>
  </si>
  <si>
    <t>Charakteristika projektu (max. 4000 znakov)</t>
  </si>
  <si>
    <t>Podrobne opíšte zámer, ciele, hlavné a čiastkové aktivity, technické riešenie a väzbu na problém územia.</t>
  </si>
  <si>
    <t>Partnerstvá a zapojenie lokálnych aktérov (ak relevantné) (max. 1500 znakov)</t>
  </si>
  <si>
    <t>Uveďte partnerov, miestnu komunitu alebo iné subjekty zapojené do prípravy, realizácie alebo udržateľnosti projektu a ich úlohu.</t>
  </si>
  <si>
    <t>6. ENVIRONMENTÁLNY PROBLÉM, HLAVNÁ PRIORITNÁ OS, OPATRENIA A UKAZOVATELE</t>
  </si>
  <si>
    <t>Environmentálny problém a východiskový stav územia (max. 2000 znakov)</t>
  </si>
  <si>
    <t>Pomôcka pre žiadateľa: pri identifikácii environmentálneho problému a území so zvýšenou environmentálnou citlivosťou alebo záťažou môže žiadateľ ako podporný nástroj využiť dostupnú aplikáciu KSK [doplniť názov a odkaz]. Využitie aplikácie je podporné a nenahrádza ďalšie relevantné údaje, odborné podklady ani miestne poznanie územia.</t>
  </si>
  <si>
    <t>Zdroj a dátum údajov k východiskovému stavu *</t>
  </si>
  <si>
    <t>Hlavná prioritná os *</t>
  </si>
  <si>
    <t>Najprv zvoľte hlavnú prioritnú os. V ponuke opatrení sa potom zobrazia iba opatrenia danej osi a po výbere opatrenia iba relevantné merateľné ukazovatele. Jednotka sa doplní automaticky.</t>
  </si>
  <si>
    <t>Opatrenie</t>
  </si>
  <si>
    <t>Merateľný ukazovateľ</t>
  </si>
  <si>
    <t>Jednotka</t>
  </si>
  <si>
    <t>Východisková hodnota</t>
  </si>
  <si>
    <t>Cieľová hodnota</t>
  </si>
  <si>
    <t>Spôsob merania / zdroj údajov</t>
  </si>
  <si>
    <t>Frekvencia merania</t>
  </si>
  <si>
    <t>Zodpovedná osoba / subjekt za monitoring hlavného prínosu *</t>
  </si>
  <si>
    <t>Predpokladaný hlavný environmentálny prínos a očakávaná zmena oproti východiskovému stavu (max. 2000 znakov)</t>
  </si>
  <si>
    <t>Opíšte vecne, čo sa má po realizácii zmeniť a prečo sú zvolené ukazovatele vhodné na sledovanie a následné overenie výsledku.</t>
  </si>
  <si>
    <t>7. VOLITEĽNÝ VEDĽAJŠÍ ENVIRONMENTÁLNY PRÍNOS 1</t>
  </si>
  <si>
    <t>Vedľajšia prioritná os 1</t>
  </si>
  <si>
    <t>Voliteľné. Ponuka obsahuje iba prioritné osi odlišné od hlavnej osi. Vedľajší prínos uvádzajte iba vtedy, ak je vecne preukázateľný. Ten istý fyzický účinok sa nesmie započítať opakovane.</t>
  </si>
  <si>
    <t>Opis vedľajšieho environmentálneho prínosu 1 (ak relevantné) (max. 1000 znakov)</t>
  </si>
  <si>
    <t>Pri vedľajšom prínose môže žiadateľ uviesť východiskovú a cieľovú hodnotu a spôsob monitorovania, ak nimi disponuje. Odborné vyčíslenie a zohľadnenie vedľajšieho prínosu vykoná hodnotiteľ podľa metodiky.</t>
  </si>
  <si>
    <t>8. VOLITEĽNÝ VEDĽAJŠÍ ENVIRONMENTÁLNY PRÍNOS 2</t>
  </si>
  <si>
    <t>Vedľajšia prioritná os 2</t>
  </si>
  <si>
    <t>Voliteľné. Vedľajšia prioritná os 2 sa sprístupní po výbere vedľajšej osi 1 a ponúkne iba tretiu zostávajúcu prioritnú os. Ak chcete uviesť iba jeden vedľajší prínos, vyplňte iba vedľajší prínos 1.</t>
  </si>
  <si>
    <t>Opis vedľajšieho environmentálneho prínosu 2 (ak relevantné) (max. 1000 znakov)</t>
  </si>
  <si>
    <t>Platí rovnaký princíp ako pri vedľajšom prínose 1; nesmie dôjsť k dvojitému započítaniu toho istého environmentálneho účinku.</t>
  </si>
  <si>
    <t>9. VÝSTUPY, VÝSLEDKY A DOTKNUTÉ / CIEĽOVÉ SKUPINY</t>
  </si>
  <si>
    <t>Výstupy projektu (max. 1000 znakov)</t>
  </si>
  <si>
    <t>Uveďte priame fyzické alebo realizačné výstupy projektu.</t>
  </si>
  <si>
    <t>Výsledky projektu (max. 1000 znakov)</t>
  </si>
  <si>
    <t>Popíšte stav alebo zmenu, ktorá vznikne po realizácii aktivít v porovnaní s východiskovým stavom.</t>
  </si>
  <si>
    <t>Dotknuté / cieľové skupiny a prínos pre ne (ak relevantné) (max. 1000 znakov)</t>
  </si>
  <si>
    <t>Uveďte subjekty alebo skupiny, ktoré budú priamo alebo nepriamo ovplyvnené realizáciou projektu a stručne popíšte prínos.</t>
  </si>
  <si>
    <t>10. FUNGOVANIE, MONITOROVANIE A UDRŽATEĽNOSŤ PROJEKTU</t>
  </si>
  <si>
    <t>Fungovanie, prevádzka a starostlivosť po realizácii (max. 1500 znakov)</t>
  </si>
  <si>
    <t>Popíšte, kto a ako bude zabezpečovať funkčnosť, prevádzku, údržbu alebo manažment vytvorených výstupov.</t>
  </si>
  <si>
    <t>Udržateľnosť výstupov a výsledkov projektu (max. 1500 znakov)</t>
  </si>
  <si>
    <t>Popíšte organizačné, technické a finančné zabezpečenie udržateľnosti najmenej počas obdobia určeného výzvou a zmluvou. Uveďte aj zdroj financovania údržby / manažmentu.</t>
  </si>
  <si>
    <t>Zodpovedný subjekt za dlhodobú starostlivosť / údržbu *</t>
  </si>
  <si>
    <t>Predpokladaný zdroj financovania údržby / manažmentu počas udržateľnosti *</t>
  </si>
  <si>
    <t>11. RIZIKÁ PROJEKTU A SPÔSOB ICH ELIMINÁCIE</t>
  </si>
  <si>
    <t>Uveďte minimálne dve významné riziká, ktoré môžu ovplyvniť realizáciu alebo udržateľnosť projektu, a spôsob ich riadenia alebo eliminácie.</t>
  </si>
  <si>
    <t>Názov rizika</t>
  </si>
  <si>
    <t>Popis / dopad rizika</t>
  </si>
  <si>
    <t>Spôsob eliminácie / riadenia rizika</t>
  </si>
  <si>
    <t>12. ČASOVÝ HARMONOGRAM AKTIVÍT PROJEKTU</t>
  </si>
  <si>
    <t>Uveďte aktivity v chronologickej postupnosti tak, aby bolo zrejmé, ako bude projekt realizovaný v stanovenom období.</t>
  </si>
  <si>
    <t>Názov aktivity</t>
  </si>
  <si>
    <t>Začiatok (mm/rrrr)</t>
  </si>
  <si>
    <t>Koniec (mm/rrrr)</t>
  </si>
  <si>
    <t>Zodpovedný subjekt / osoba</t>
  </si>
  <si>
    <t>13. INFORMÁCIE PRE POSÚDENIE ŠTÁTNEJ / MINIMÁLNEJ POMOCI</t>
  </si>
  <si>
    <t>Charakter podporovanej činnosti podľa žiadateľa *</t>
  </si>
  <si>
    <t>Test štátnej pomoci priložený *</t>
  </si>
  <si>
    <t>Čestné vyhlásenie o nehospodárskom charaktere aktivít projektu (ak relevantné)</t>
  </si>
  <si>
    <t>Test lokálneho charakteru hospodárskych činností (ak relevantné)</t>
  </si>
  <si>
    <t>Bola žiadateľovi alebo podnikom tvoriacim s ním jediný podnik poskytnutá minimálna pomoc počas relevantného obdobia troch rokov?</t>
  </si>
  <si>
    <t>Celková výška minimálnej pomoci za uvedené relevantné obdobie (€)</t>
  </si>
  <si>
    <t>Ak je odpoveď „Áno“, uveďte jednotlivé prípady minimálnej pomoci. Údaje slúžia na posúdenie; konečné právne posúdenie uplatniteľného režimu vykoná KSK.</t>
  </si>
  <si>
    <t>Dátum poskytnutia</t>
  </si>
  <si>
    <t>Poskytovateľ pomoci</t>
  </si>
  <si>
    <t>Názov opatrenia / pomoci</t>
  </si>
  <si>
    <t>Výška pomoci (€)</t>
  </si>
  <si>
    <t>Režim / nariadenie</t>
  </si>
  <si>
    <t>Evidenčné číslo / poznámka</t>
  </si>
  <si>
    <t>Žiadateľ, ktorý bude čerpať podporu v režime minimálnej pomoci, predkladá aj príslušné vyhlásenie podľa pravidiel uvedených v Príručke pre žiadateľa.</t>
  </si>
  <si>
    <t>14. PUBLICITA A INFORMOVANIE O PROJEKTE</t>
  </si>
  <si>
    <t>Publicita počas realizácie projektu (max. 1000 znakov)</t>
  </si>
  <si>
    <t>Popíšte primerané spôsoby informovania o realizácii projektu a podpore z verejných zdrojov v súlade s manuálom publicity.</t>
  </si>
  <si>
    <t>Informovanie o výsledkoch projektu počas obdobia udržateľnosti (max. 1000 znakov)</t>
  </si>
  <si>
    <t>Uveďte primerané komunikačné kanály alebo formy informovania o výsledkoch projektu po jeho ukončení.</t>
  </si>
  <si>
    <t>15. KONTROLNÝ ZOZNAM POVINNÝCH PRÍLOH K ŽIADOSTI</t>
  </si>
  <si>
    <t>Príloha</t>
  </si>
  <si>
    <t>Stav</t>
  </si>
  <si>
    <t>Poznámka / názov súboru</t>
  </si>
  <si>
    <t>Podrobný rozpočet projektu vo formáte XLS/XLSX</t>
  </si>
  <si>
    <t>Doklad preukazujúci právnu formu a právnu subjektivitu žiadateľa (ak údaje nie sú verejne overiteľné)</t>
  </si>
  <si>
    <t>Doklad o zriadení alebo založení žiadateľa (ak relevantné)</t>
  </si>
  <si>
    <t>Doklad preukazujúci oprávnenie štatutárneho zástupcu / zástupcov konať za žiadateľa (ak relevantné)</t>
  </si>
  <si>
    <t>Doklad preukazujúci vlastnícke, užívacie alebo iné právo k nehnuteľnosti / územiu</t>
  </si>
  <si>
    <t>Projektová dokumentácia alebo zjednodušená projektová dokumentácia / situačný nákres (podľa relevantnosti)</t>
  </si>
  <si>
    <t>Príslušné povolenie, ohlásenie alebo iný doklad oprávňujúci na realizáciu projektu, resp. doklad o začatí procesu (ak relevantné)</t>
  </si>
  <si>
    <t>Stanoviská, vyjadrenia alebo súhlasy dotknutých orgánov / subjektov (ak relevantné)</t>
  </si>
  <si>
    <t>Východisková (baseline) fotodokumentácia miesta realizácie projektu</t>
  </si>
  <si>
    <t>Čestné vyhlásenia žiadateľa</t>
  </si>
  <si>
    <t>Test štátnej pomoci</t>
  </si>
  <si>
    <t>16. VYHLÁSENIA ŽIADATEĽA</t>
  </si>
  <si>
    <t>Potvrdzujem, že informácie uvedené v žiadosti a jej prílohách sú úplné, pravdivé a správne. *</t>
  </si>
  <si>
    <t>Beriem na vedomie informáciu o spracúvaní osobných údajov zverejnenú KSK [doplniť odkaz]. *</t>
  </si>
  <si>
    <t>Ostatné čestné vyhlásenia o splnení podmienok oprávnenosti, finančných vzťahoch, dvojitom financovaní, spolufinancovaní a ďalších skutočnostiach sa predkladajú v samostatnej prílohe podľa Príručky pre žiadateľa.</t>
  </si>
  <si>
    <t>Prioritná os</t>
  </si>
  <si>
    <t>Krok / oblasť</t>
  </si>
  <si>
    <t>Ako vyplniť</t>
  </si>
  <si>
    <t>Poznámka k fungovaniu e-Grantu</t>
  </si>
  <si>
    <t>Farebné rozlíšenie</t>
  </si>
  <si>
    <t>Žlté polia = voľný vstup; modré polia = výber zo zoznamu; sivé polia = automatický výpočet.</t>
  </si>
  <si>
    <t>V e-Grante má byť rovnaká logika zachovaná funkčne, farby sú iba pomôcka prototypu.</t>
  </si>
  <si>
    <t>Základné údaje a financovanie</t>
  </si>
  <si>
    <t>Vyplňte projekt, miesto, termíny a finančné údaje.</t>
  </si>
  <si>
    <t>Spolufinancovanie a percentuálne podiely sa majú vypočítať automaticky.</t>
  </si>
  <si>
    <t>Žiadateľ</t>
  </si>
  <si>
    <t>Vyplňte identifikačné, DPH, štatutárne a kontaktné údaje.</t>
  </si>
  <si>
    <t>Údaje dostupné z verejných registrov môže systém predvyplniť alebo overiť.</t>
  </si>
  <si>
    <t>Pozemky / nehnuteľnosti</t>
  </si>
  <si>
    <t>Uveďte všetky parcely/nehnuteľnosti dotknuté projektom a právny vzťah.</t>
  </si>
  <si>
    <t>Systém umožní pridať ďalší riadok podľa potreby. Pri nevlastníckom vzťahu sa kontroluje právny titul a súhlas vlastníka.</t>
  </si>
  <si>
    <t>Projektová dokumentácia</t>
  </si>
  <si>
    <t>Uveďte, či je dokumentácia potrebná a či ju máte pripravenú.</t>
  </si>
  <si>
    <t>Ak PD nie je potrebná, prikladá sa minimálne situačný nákres podľa príručky.</t>
  </si>
  <si>
    <t>Povolenia</t>
  </si>
  <si>
    <t>Uveďte, či sú potrebné a stav povoľovacieho/oznamovacieho procesu.</t>
  </si>
  <si>
    <t>Ak povolenie nie je pri podaní k dispozícii, žiadateľ preukáže začatie procesu; právoplatný doklad pred zmluvou.</t>
  </si>
  <si>
    <t>Opis projektu</t>
  </si>
  <si>
    <t>Vyplňte skúsenosti, stručný opis, charakteristiku a partnerstvá.</t>
  </si>
  <si>
    <t>Textové limity sú orientačne prevzaté z funkčného Terra formulára.</t>
  </si>
  <si>
    <t>Hlavná prioritná os</t>
  </si>
  <si>
    <t>Vyberte jednu z troch prioritných osí.</t>
  </si>
  <si>
    <t>Po výbere osi sa v opatreniach zobrazia iba opatrenia danej osi.</t>
  </si>
  <si>
    <t>Vyberte opatrenie.</t>
  </si>
  <si>
    <t>Po výbere opatrenia sa zobrazia iba jeho merateľné ukazovatele.</t>
  </si>
  <si>
    <t>Ukazovateľ</t>
  </si>
  <si>
    <t>Vyberte ukazovateľ a doplňte baseline, cieľ, spôsob a frekvenciu merania.</t>
  </si>
  <si>
    <t>Jednotka sa doplní automaticky. Pri zmene nadradenej voľby má e-Grant automaticky vymazať neplatné podradené voľby.</t>
  </si>
  <si>
    <t>Vedľajší prínos 1</t>
  </si>
  <si>
    <t>Voliteľne vyberte jednu z dvoch osí mimo hlavnej.</t>
  </si>
  <si>
    <t>Nasleduje rovnaká kaskáda os → opatrenie → ukazovateľ → jednotka.</t>
  </si>
  <si>
    <t>Vedľajší prínos 2</t>
  </si>
  <si>
    <t>Voliteľne vyberte druhú zostávajúcu os.</t>
  </si>
  <si>
    <t>Ak je vedľajšia os 1 vybraná, systém ponúkne už iba tretiu nepoužitú os.</t>
  </si>
  <si>
    <t>Udržateľnosť</t>
  </si>
  <si>
    <t>Uveďte fungovanie, údržbu, zodpovedný subjekt a finančné krytie.</t>
  </si>
  <si>
    <t>Projekt musí zachovať funkčnosť a výsledky počas obdobia udržateľnosti podľa výzvy/zmluvy.</t>
  </si>
  <si>
    <t>Minimálna pomoc</t>
  </si>
  <si>
    <t>Ak relevantné, uveďte poskytnutú minimálnu pomoc za relevantné obdobie troch rokov.</t>
  </si>
  <si>
    <t>Konečné právne posúdenie režimu vykonáva KSK; samostatné testy/vyhlásenia sa prikladajú podľa príručky.</t>
  </si>
  <si>
    <t>Prílohy</t>
  </si>
  <si>
    <t>Pri každej prílohe označte stav a názov súboru.</t>
  </si>
  <si>
    <t>Rozpočet sa predkladá XLS/XLSX; ostatné prílohy PDF, ak príručka neurčí inak.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</si>
</sst>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€&quot;"/>
  </numFmts>
  <fonts count="9">
    <font>
      <sz val="11"/>
      <name val="Carlito"/>
    </font>
    <font>
      <b/>
      <sz val="15"/>
      <color rgb="FFFFFFFF"/>
      <name val="Carlito"/>
    </font>
    <font>
      <i/>
      <sz val="9"/>
      <color rgb="FF555555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sz val="10"/>
      <color rgb="FF1F1F1F"/>
      <name val="Carlito"/>
    </font>
    <font>
      <b/>
      <sz val="9"/>
      <color rgb="FF1F1F1F"/>
      <name val="Carlito"/>
    </font>
    <font>
      <sz val="9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4483E"/>
      </patternFill>
    </fill>
    <fill>
      <patternFill patternType="solid">
        <fgColor rgb="FFDDEBE5"/>
      </patternFill>
    </fill>
    <fill>
      <patternFill patternType="solid">
        <fgColor rgb="FF2F5D50"/>
      </patternFill>
    </fill>
    <fill>
      <patternFill patternType="solid">
        <fgColor rgb="FFF5F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6">
    <xf numFmtId="0" fontId="0" fillId="0" borderId="0" xfId="0"/>
    <xf numFmtId="0" fontId="3" fillId="4" borderId="7" xfId="1" applyFont="1" applyFill="1" applyBorder="1" applyAlignment="1">
      <alignment wrapText="1"/>
    </xf>
    <xf numFmtId="0" fontId="3" fillId="4" borderId="8" xfId="1" applyFont="1" applyFill="1" applyBorder="1" applyAlignment="1">
      <alignment wrapText="1"/>
    </xf>
    <xf numFmtId="0" fontId="3" fillId="4" borderId="9" xfId="1" applyFont="1" applyFill="1" applyBorder="1" applyAlignment="1">
      <alignment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6" fillId="3" borderId="12" xfId="1" applyFont="1" applyFill="1" applyBorder="1" applyAlignment="1">
      <alignment horizontal="center" vertical="center" wrapText="1"/>
    </xf>
    <xf numFmtId="0" fontId="7" fillId="6" borderId="12" xfId="1" applyFont="1" applyFill="1" applyBorder="1" applyAlignment="1">
      <alignment vertical="center" wrapText="1"/>
    </xf>
    <xf numFmtId="0" fontId="7" fillId="9" borderId="12" xfId="1" applyFont="1" applyFill="1" applyBorder="1" applyAlignment="1">
      <alignment vertical="center" wrapText="1"/>
    </xf>
    <xf numFmtId="0" fontId="7" fillId="7" borderId="12" xfId="1" applyFont="1" applyFill="1" applyBorder="1" applyAlignment="1">
      <alignment vertical="center" wrapText="1"/>
    </xf>
    <xf numFmtId="165" fontId="7" fillId="6" borderId="12" xfId="1" applyNumberFormat="1" applyFont="1" applyFill="1" applyBorder="1" applyAlignment="1">
      <alignment vertical="center" wrapText="1"/>
    </xf>
    <xf numFmtId="0" fontId="0" fillId="0" borderId="13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4" fillId="5" borderId="12" xfId="1" applyFont="1" applyFill="1" applyBorder="1" applyAlignment="1">
      <alignment vertical="center" wrapText="1"/>
    </xf>
    <xf numFmtId="0" fontId="5" fillId="6" borderId="12" xfId="1" applyFont="1" applyFill="1" applyBorder="1" applyAlignment="1">
      <alignment vertical="center" wrapText="1"/>
    </xf>
    <xf numFmtId="164" fontId="5" fillId="6" borderId="12" xfId="1" applyNumberFormat="1" applyFont="1" applyFill="1" applyBorder="1" applyAlignment="1">
      <alignment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2" fillId="3" borderId="12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vertical="center" wrapText="1"/>
    </xf>
    <xf numFmtId="10" fontId="5" fillId="7" borderId="12" xfId="1" applyNumberFormat="1" applyFont="1" applyFill="1" applyBorder="1" applyAlignment="1">
      <alignment vertical="center" wrapText="1"/>
    </xf>
    <xf numFmtId="165" fontId="5" fillId="6" borderId="12" xfId="1" applyNumberFormat="1" applyFont="1" applyFill="1" applyBorder="1" applyAlignment="1">
      <alignment vertical="center" wrapText="1"/>
    </xf>
    <xf numFmtId="165" fontId="5" fillId="7" borderId="12" xfId="1" applyNumberFormat="1" applyFont="1" applyFill="1" applyBorder="1" applyAlignment="1">
      <alignment vertical="center" wrapText="1"/>
    </xf>
    <xf numFmtId="0" fontId="5" fillId="7" borderId="12" xfId="1" applyFont="1" applyFill="1" applyBorder="1" applyAlignment="1">
      <alignment vertical="center" wrapText="1"/>
    </xf>
    <xf numFmtId="0" fontId="2" fillId="8" borderId="12" xfId="1" applyFont="1" applyFill="1" applyBorder="1" applyAlignment="1">
      <alignment vertical="center" wrapText="1"/>
    </xf>
    <xf numFmtId="0" fontId="5" fillId="9" borderId="12" xfId="1" applyFont="1" applyFill="1" applyBorder="1" applyAlignment="1">
      <alignment vertical="center" wrapText="1"/>
    </xf>
    <xf numFmtId="0" fontId="4" fillId="3" borderId="12" xfId="1" applyFont="1" applyFill="1" applyBorder="1" applyAlignment="1">
      <alignment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7" fillId="6" borderId="1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Normálna" xfId="0" builtinId="0"/>
  </cellStyles>
  <dxfs count="1">
    <dxf>
      <font>
        <color rgb="FF9C0006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24"/>
  <sheetViews>
    <sheetView tabSelected="1" topLeftCell="A208" workbookViewId="0">
      <selection sqref="A1:H224"/>
    </sheetView>
  </sheetViews>
  <sheetFormatPr defaultRowHeight="13.5"/>
  <cols>
    <col min="1" max="1" width="6" customWidth="1"/>
    <col min="2" max="2" width="30" customWidth="1"/>
    <col min="3" max="3" width="38" customWidth="1"/>
    <col min="4" max="4" width="17" customWidth="1"/>
    <col min="5" max="6" width="18" customWidth="1"/>
    <col min="7" max="7" width="28" customWidth="1"/>
    <col min="8" max="8" width="20" customWidth="1"/>
    <col min="27" max="39" width="2.5" customWidth="1"/>
    <col min="41" max="42" width="2.5" customWidth="1"/>
  </cols>
  <sheetData>
    <row r="1" spans="1:44">
      <c r="A1" s="24" t="s">
        <v>0</v>
      </c>
      <c r="B1" s="24"/>
      <c r="C1" s="24"/>
      <c r="D1" s="24"/>
      <c r="E1" s="24"/>
      <c r="F1" s="24"/>
      <c r="G1" s="24"/>
      <c r="H1" s="24"/>
      <c r="AA1" t="s">
        <v>1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10</v>
      </c>
      <c r="AK1" t="s">
        <v>11</v>
      </c>
      <c r="AL1" t="s">
        <v>12</v>
      </c>
      <c r="AM1" t="s">
        <v>13</v>
      </c>
      <c r="AQ1" t="s">
        <v>14</v>
      </c>
      <c r="AR1" t="s">
        <v>15</v>
      </c>
    </row>
    <row r="2" spans="1:44" ht="39.75" customHeight="1">
      <c r="A2" s="24"/>
      <c r="B2" s="24"/>
      <c r="C2" s="24"/>
      <c r="D2" s="24"/>
      <c r="E2" s="24"/>
      <c r="F2" s="24"/>
      <c r="G2" s="24"/>
      <c r="H2" s="24"/>
      <c r="AA2" t="s">
        <v>5</v>
      </c>
      <c r="AB2" t="s">
        <v>16</v>
      </c>
      <c r="AC2">
        <v>1</v>
      </c>
      <c r="AD2">
        <v>3</v>
      </c>
      <c r="AE2" t="s">
        <v>6</v>
      </c>
      <c r="AF2" t="s">
        <v>5</v>
      </c>
      <c r="AG2" t="s">
        <v>5</v>
      </c>
      <c r="AH2" t="s">
        <v>16</v>
      </c>
      <c r="AI2">
        <v>1</v>
      </c>
      <c r="AJ2">
        <v>5</v>
      </c>
      <c r="AK2" t="s">
        <v>17</v>
      </c>
      <c r="AL2" t="s">
        <v>18</v>
      </c>
      <c r="AM2" t="s">
        <v>16</v>
      </c>
      <c r="AQ2" t="s">
        <v>19</v>
      </c>
      <c r="AR2" t="s">
        <v>7</v>
      </c>
    </row>
    <row r="3" spans="1:44">
      <c r="A3" s="25" t="s">
        <v>20</v>
      </c>
      <c r="B3" s="25"/>
      <c r="C3" s="25"/>
      <c r="D3" s="25"/>
      <c r="E3" s="25"/>
      <c r="F3" s="25"/>
      <c r="G3" s="25"/>
      <c r="H3" s="25"/>
      <c r="AA3" t="s">
        <v>6</v>
      </c>
      <c r="AB3" t="s">
        <v>21</v>
      </c>
      <c r="AC3">
        <v>4</v>
      </c>
      <c r="AD3">
        <v>3</v>
      </c>
      <c r="AE3" t="s">
        <v>7</v>
      </c>
      <c r="AF3" t="s">
        <v>7</v>
      </c>
      <c r="AG3" t="s">
        <v>6</v>
      </c>
      <c r="AH3" t="s">
        <v>21</v>
      </c>
      <c r="AI3">
        <v>6</v>
      </c>
      <c r="AJ3">
        <v>4</v>
      </c>
      <c r="AK3" t="s">
        <v>22</v>
      </c>
      <c r="AL3" t="s">
        <v>23</v>
      </c>
      <c r="AM3" t="s">
        <v>16</v>
      </c>
      <c r="AQ3" t="s">
        <v>24</v>
      </c>
      <c r="AR3" t="s">
        <v>6</v>
      </c>
    </row>
    <row r="4" spans="1:44">
      <c r="A4" s="18"/>
      <c r="B4" s="19"/>
      <c r="C4" s="19"/>
      <c r="D4" s="19"/>
      <c r="E4" s="19"/>
      <c r="F4" s="19"/>
      <c r="G4" s="19"/>
      <c r="H4" s="20"/>
      <c r="AA4" t="s">
        <v>7</v>
      </c>
      <c r="AB4" t="s">
        <v>25</v>
      </c>
      <c r="AC4">
        <v>7</v>
      </c>
      <c r="AD4">
        <v>3</v>
      </c>
      <c r="AH4" t="s">
        <v>25</v>
      </c>
      <c r="AI4">
        <v>10</v>
      </c>
      <c r="AJ4">
        <v>4</v>
      </c>
      <c r="AK4" t="s">
        <v>26</v>
      </c>
      <c r="AL4" t="s">
        <v>27</v>
      </c>
      <c r="AM4" t="s">
        <v>16</v>
      </c>
      <c r="AQ4" t="s">
        <v>28</v>
      </c>
      <c r="AR4" t="s">
        <v>7</v>
      </c>
    </row>
    <row r="5" spans="1:44" ht="13.9">
      <c r="A5" s="26" t="s">
        <v>29</v>
      </c>
      <c r="B5" s="26"/>
      <c r="C5" s="26"/>
      <c r="D5" s="26"/>
      <c r="E5" s="26"/>
      <c r="F5" s="26"/>
      <c r="G5" s="26"/>
      <c r="H5" s="26"/>
      <c r="AB5" t="s">
        <v>30</v>
      </c>
      <c r="AH5" t="s">
        <v>30</v>
      </c>
      <c r="AI5">
        <v>14</v>
      </c>
      <c r="AJ5">
        <v>4</v>
      </c>
      <c r="AK5" t="s">
        <v>31</v>
      </c>
      <c r="AL5" t="s">
        <v>32</v>
      </c>
      <c r="AM5" t="s">
        <v>16</v>
      </c>
      <c r="AQ5" t="s">
        <v>33</v>
      </c>
      <c r="AR5" t="s">
        <v>5</v>
      </c>
    </row>
    <row r="6" spans="1:44">
      <c r="A6" s="21" t="s">
        <v>34</v>
      </c>
      <c r="B6" s="21"/>
      <c r="C6" s="21"/>
      <c r="D6" s="22"/>
      <c r="E6" s="22"/>
      <c r="F6" s="22"/>
      <c r="G6" s="22"/>
      <c r="H6" s="22"/>
      <c r="AB6" t="s">
        <v>35</v>
      </c>
      <c r="AH6" t="s">
        <v>35</v>
      </c>
      <c r="AI6">
        <v>18</v>
      </c>
      <c r="AJ6">
        <v>5</v>
      </c>
      <c r="AK6" t="s">
        <v>36</v>
      </c>
      <c r="AL6" t="s">
        <v>37</v>
      </c>
      <c r="AM6" t="s">
        <v>16</v>
      </c>
      <c r="AQ6" t="s">
        <v>38</v>
      </c>
      <c r="AR6" t="s">
        <v>6</v>
      </c>
    </row>
    <row r="7" spans="1:44">
      <c r="A7" s="21" t="s">
        <v>39</v>
      </c>
      <c r="B7" s="21"/>
      <c r="C7" s="21"/>
      <c r="D7" s="22"/>
      <c r="E7" s="22"/>
      <c r="F7" s="22"/>
      <c r="G7" s="22"/>
      <c r="H7" s="22"/>
      <c r="AB7" t="s">
        <v>40</v>
      </c>
      <c r="AH7" t="s">
        <v>40</v>
      </c>
      <c r="AI7">
        <v>23</v>
      </c>
      <c r="AJ7">
        <v>5</v>
      </c>
      <c r="AK7" t="s">
        <v>41</v>
      </c>
      <c r="AL7" t="s">
        <v>23</v>
      </c>
      <c r="AM7" t="s">
        <v>21</v>
      </c>
      <c r="AQ7" t="s">
        <v>42</v>
      </c>
      <c r="AR7" t="s">
        <v>5</v>
      </c>
    </row>
    <row r="8" spans="1:44">
      <c r="A8" s="21" t="s">
        <v>43</v>
      </c>
      <c r="B8" s="21"/>
      <c r="C8" s="21"/>
      <c r="D8" s="23"/>
      <c r="E8" s="23"/>
      <c r="F8" s="23"/>
      <c r="G8" s="23"/>
      <c r="H8" s="23"/>
      <c r="AB8" t="s">
        <v>44</v>
      </c>
      <c r="AH8" t="s">
        <v>44</v>
      </c>
      <c r="AI8">
        <v>28</v>
      </c>
      <c r="AJ8">
        <v>5</v>
      </c>
      <c r="AK8" t="s">
        <v>45</v>
      </c>
      <c r="AL8" t="s">
        <v>23</v>
      </c>
      <c r="AM8" t="s">
        <v>21</v>
      </c>
    </row>
    <row r="9" spans="1:44">
      <c r="A9" s="21" t="s">
        <v>46</v>
      </c>
      <c r="B9" s="21"/>
      <c r="C9" s="21"/>
      <c r="D9" s="23"/>
      <c r="E9" s="23"/>
      <c r="F9" s="23"/>
      <c r="G9" s="23"/>
      <c r="H9" s="23"/>
      <c r="AB9" t="s">
        <v>47</v>
      </c>
      <c r="AH9" t="s">
        <v>47</v>
      </c>
      <c r="AI9">
        <v>33</v>
      </c>
      <c r="AJ9">
        <v>3</v>
      </c>
      <c r="AK9" t="s">
        <v>48</v>
      </c>
      <c r="AL9" t="s">
        <v>49</v>
      </c>
      <c r="AM9" t="s">
        <v>21</v>
      </c>
    </row>
    <row r="10" spans="1:44">
      <c r="A10" s="21" t="s">
        <v>50</v>
      </c>
      <c r="B10" s="21"/>
      <c r="C10" s="21"/>
      <c r="D10" s="28"/>
      <c r="E10" s="22"/>
      <c r="F10" s="22"/>
      <c r="G10" s="22"/>
      <c r="H10" s="22"/>
      <c r="AB10" t="s">
        <v>51</v>
      </c>
      <c r="AH10" t="s">
        <v>51</v>
      </c>
      <c r="AI10">
        <v>36</v>
      </c>
      <c r="AJ10">
        <v>5</v>
      </c>
      <c r="AK10" t="s">
        <v>52</v>
      </c>
      <c r="AL10" t="s">
        <v>37</v>
      </c>
      <c r="AM10" t="s">
        <v>21</v>
      </c>
    </row>
    <row r="11" spans="1:44">
      <c r="A11" s="21" t="s">
        <v>53</v>
      </c>
      <c r="B11" s="21"/>
      <c r="C11" s="21"/>
      <c r="D11" s="28"/>
      <c r="E11" s="22"/>
      <c r="F11" s="22"/>
      <c r="G11" s="22"/>
      <c r="H11" s="22"/>
      <c r="AK11" t="s">
        <v>54</v>
      </c>
      <c r="AL11" t="s">
        <v>18</v>
      </c>
      <c r="AM11" t="s">
        <v>25</v>
      </c>
    </row>
    <row r="12" spans="1:44">
      <c r="A12" s="21" t="s">
        <v>55</v>
      </c>
      <c r="B12" s="21"/>
      <c r="C12" s="21"/>
      <c r="D12" s="29" t="str">
        <f>IF(OR(D10="",D11=""),"",D10-D11)</f>
        <v/>
      </c>
      <c r="E12" s="30"/>
      <c r="F12" s="30"/>
      <c r="G12" s="30"/>
      <c r="H12" s="30"/>
      <c r="AK12" t="s">
        <v>56</v>
      </c>
      <c r="AL12" t="s">
        <v>49</v>
      </c>
      <c r="AM12" t="s">
        <v>25</v>
      </c>
    </row>
    <row r="13" spans="1:44">
      <c r="A13" s="21" t="s">
        <v>57</v>
      </c>
      <c r="B13" s="21"/>
      <c r="C13" s="21"/>
      <c r="D13" s="27" t="str">
        <f>IFERROR(D11/D10,"")</f>
        <v/>
      </c>
      <c r="E13" s="27"/>
      <c r="F13" s="27"/>
      <c r="G13" s="27"/>
      <c r="H13" s="27"/>
      <c r="AK13" t="s">
        <v>58</v>
      </c>
      <c r="AL13" t="s">
        <v>23</v>
      </c>
      <c r="AM13" t="s">
        <v>25</v>
      </c>
    </row>
    <row r="14" spans="1:44">
      <c r="A14" s="21" t="s">
        <v>59</v>
      </c>
      <c r="B14" s="21"/>
      <c r="C14" s="21"/>
      <c r="D14" s="27" t="str">
        <f>IFERROR(D12/D10,"")</f>
        <v/>
      </c>
      <c r="E14" s="27"/>
      <c r="F14" s="27"/>
      <c r="G14" s="27"/>
      <c r="H14" s="27"/>
      <c r="AK14" t="s">
        <v>60</v>
      </c>
      <c r="AL14" t="s">
        <v>27</v>
      </c>
      <c r="AM14" t="s">
        <v>25</v>
      </c>
    </row>
    <row r="15" spans="1:44">
      <c r="A15" s="21" t="s">
        <v>61</v>
      </c>
      <c r="B15" s="21"/>
      <c r="C15" s="21"/>
      <c r="D15" s="22"/>
      <c r="E15" s="22"/>
      <c r="F15" s="22"/>
      <c r="G15" s="22"/>
      <c r="H15" s="22"/>
      <c r="AK15" t="s">
        <v>62</v>
      </c>
      <c r="AL15" t="s">
        <v>23</v>
      </c>
      <c r="AM15" t="s">
        <v>30</v>
      </c>
    </row>
    <row r="16" spans="1:44">
      <c r="A16" s="21" t="s">
        <v>63</v>
      </c>
      <c r="B16" s="21"/>
      <c r="C16" s="21"/>
      <c r="D16" s="30" t="str">
        <f>IF(OR(D10="",D11=""),"",IF(AND(D11&gt;=50000,D11&lt;=300000,D13&lt;=0.9,D14&gt;=0.1,D12&gt;=0),"OK","SKONTROLOVAŤ"))</f>
        <v/>
      </c>
      <c r="E16" s="30"/>
      <c r="F16" s="30"/>
      <c r="G16" s="30"/>
      <c r="H16" s="30"/>
      <c r="AK16" t="s">
        <v>64</v>
      </c>
      <c r="AL16" t="s">
        <v>23</v>
      </c>
      <c r="AM16" t="s">
        <v>30</v>
      </c>
    </row>
    <row r="17" spans="1:39">
      <c r="A17" s="31" t="s">
        <v>65</v>
      </c>
      <c r="B17" s="31"/>
      <c r="C17" s="31"/>
      <c r="D17" s="31"/>
      <c r="E17" s="31"/>
      <c r="F17" s="31"/>
      <c r="G17" s="31"/>
      <c r="H17" s="31"/>
      <c r="AK17" t="s">
        <v>66</v>
      </c>
      <c r="AL17" t="s">
        <v>23</v>
      </c>
      <c r="AM17" t="s">
        <v>30</v>
      </c>
    </row>
    <row r="18" spans="1:39">
      <c r="A18" s="18"/>
      <c r="B18" s="19"/>
      <c r="C18" s="19"/>
      <c r="D18" s="19"/>
      <c r="E18" s="19"/>
      <c r="F18" s="19"/>
      <c r="G18" s="19"/>
      <c r="H18" s="20"/>
      <c r="AK18" t="s">
        <v>67</v>
      </c>
      <c r="AL18" t="s">
        <v>37</v>
      </c>
      <c r="AM18" t="s">
        <v>30</v>
      </c>
    </row>
    <row r="19" spans="1:39" ht="13.9">
      <c r="A19" s="26" t="s">
        <v>68</v>
      </c>
      <c r="B19" s="26"/>
      <c r="C19" s="26"/>
      <c r="D19" s="26"/>
      <c r="E19" s="26"/>
      <c r="F19" s="26"/>
      <c r="G19" s="26"/>
      <c r="H19" s="26"/>
      <c r="AK19" t="s">
        <v>69</v>
      </c>
      <c r="AL19" t="s">
        <v>37</v>
      </c>
      <c r="AM19" t="s">
        <v>35</v>
      </c>
    </row>
    <row r="20" spans="1:39">
      <c r="A20" s="21" t="s">
        <v>70</v>
      </c>
      <c r="B20" s="21"/>
      <c r="C20" s="21"/>
      <c r="D20" s="22"/>
      <c r="E20" s="22"/>
      <c r="F20" s="22"/>
      <c r="G20" s="22"/>
      <c r="H20" s="22"/>
      <c r="AK20" t="s">
        <v>71</v>
      </c>
      <c r="AL20" t="s">
        <v>37</v>
      </c>
      <c r="AM20" t="s">
        <v>35</v>
      </c>
    </row>
    <row r="21" spans="1:39">
      <c r="A21" s="21" t="s">
        <v>72</v>
      </c>
      <c r="B21" s="21"/>
      <c r="C21" s="21"/>
      <c r="D21" s="22"/>
      <c r="E21" s="22"/>
      <c r="F21" s="22"/>
      <c r="G21" s="22"/>
      <c r="H21" s="22"/>
      <c r="AK21" t="s">
        <v>73</v>
      </c>
      <c r="AL21" t="s">
        <v>23</v>
      </c>
      <c r="AM21" t="s">
        <v>35</v>
      </c>
    </row>
    <row r="22" spans="1:39">
      <c r="A22" s="21" t="s">
        <v>74</v>
      </c>
      <c r="B22" s="21"/>
      <c r="C22" s="21"/>
      <c r="D22" s="22"/>
      <c r="E22" s="22"/>
      <c r="F22" s="22"/>
      <c r="G22" s="22"/>
      <c r="H22" s="22"/>
      <c r="AK22" t="s">
        <v>75</v>
      </c>
      <c r="AL22" t="s">
        <v>23</v>
      </c>
      <c r="AM22" t="s">
        <v>35</v>
      </c>
    </row>
    <row r="23" spans="1:39">
      <c r="A23" s="21" t="s">
        <v>76</v>
      </c>
      <c r="B23" s="21"/>
      <c r="C23" s="21"/>
      <c r="D23" s="22"/>
      <c r="E23" s="22"/>
      <c r="F23" s="22"/>
      <c r="G23" s="22"/>
      <c r="H23" s="22"/>
      <c r="AK23" t="s">
        <v>77</v>
      </c>
      <c r="AL23" t="s">
        <v>78</v>
      </c>
      <c r="AM23" t="s">
        <v>35</v>
      </c>
    </row>
    <row r="24" spans="1:39">
      <c r="A24" s="21" t="s">
        <v>79</v>
      </c>
      <c r="B24" s="21"/>
      <c r="C24" s="21"/>
      <c r="D24" s="22"/>
      <c r="E24" s="22"/>
      <c r="F24" s="22"/>
      <c r="G24" s="22"/>
      <c r="H24" s="22"/>
      <c r="AK24" t="s">
        <v>80</v>
      </c>
      <c r="AL24" t="s">
        <v>49</v>
      </c>
      <c r="AM24" t="s">
        <v>40</v>
      </c>
    </row>
    <row r="25" spans="1:39">
      <c r="A25" s="21" t="s">
        <v>81</v>
      </c>
      <c r="B25" s="21"/>
      <c r="C25" s="21"/>
      <c r="D25" s="32"/>
      <c r="E25" s="32"/>
      <c r="F25" s="32"/>
      <c r="G25" s="32"/>
      <c r="H25" s="32"/>
      <c r="AK25" t="s">
        <v>82</v>
      </c>
      <c r="AL25" t="s">
        <v>37</v>
      </c>
      <c r="AM25" t="s">
        <v>40</v>
      </c>
    </row>
    <row r="26" spans="1:39">
      <c r="A26" s="21" t="s">
        <v>83</v>
      </c>
      <c r="B26" s="21"/>
      <c r="C26" s="21"/>
      <c r="D26" s="32"/>
      <c r="E26" s="32"/>
      <c r="F26" s="32"/>
      <c r="G26" s="32"/>
      <c r="H26" s="32"/>
      <c r="AK26" t="s">
        <v>84</v>
      </c>
      <c r="AL26" t="s">
        <v>23</v>
      </c>
      <c r="AM26" t="s">
        <v>40</v>
      </c>
    </row>
    <row r="27" spans="1:39">
      <c r="A27" s="21" t="s">
        <v>85</v>
      </c>
      <c r="B27" s="21"/>
      <c r="C27" s="21"/>
      <c r="D27" s="22"/>
      <c r="E27" s="22"/>
      <c r="F27" s="22"/>
      <c r="G27" s="22"/>
      <c r="H27" s="22"/>
      <c r="AK27" t="s">
        <v>86</v>
      </c>
      <c r="AL27" t="s">
        <v>27</v>
      </c>
      <c r="AM27" t="s">
        <v>40</v>
      </c>
    </row>
    <row r="28" spans="1:39">
      <c r="A28" s="21" t="s">
        <v>87</v>
      </c>
      <c r="B28" s="21"/>
      <c r="C28" s="21"/>
      <c r="D28" s="22"/>
      <c r="E28" s="22"/>
      <c r="F28" s="22"/>
      <c r="G28" s="22"/>
      <c r="H28" s="22"/>
      <c r="AK28" t="s">
        <v>88</v>
      </c>
      <c r="AL28" t="s">
        <v>27</v>
      </c>
      <c r="AM28" t="s">
        <v>40</v>
      </c>
    </row>
    <row r="29" spans="1:39">
      <c r="A29" s="21" t="s">
        <v>89</v>
      </c>
      <c r="B29" s="21"/>
      <c r="C29" s="21"/>
      <c r="D29" s="22"/>
      <c r="E29" s="22"/>
      <c r="F29" s="22"/>
      <c r="G29" s="22"/>
      <c r="H29" s="22"/>
      <c r="AK29" t="s">
        <v>90</v>
      </c>
      <c r="AL29" t="s">
        <v>91</v>
      </c>
      <c r="AM29" t="s">
        <v>44</v>
      </c>
    </row>
    <row r="30" spans="1:39">
      <c r="A30" s="33" t="s">
        <v>92</v>
      </c>
      <c r="B30" s="33"/>
      <c r="C30" s="33"/>
      <c r="D30" s="33"/>
      <c r="E30" s="33"/>
      <c r="F30" s="33"/>
      <c r="G30" s="33"/>
      <c r="H30" s="33"/>
      <c r="AK30" t="s">
        <v>93</v>
      </c>
      <c r="AL30" t="s">
        <v>49</v>
      </c>
      <c r="AM30" t="s">
        <v>44</v>
      </c>
    </row>
    <row r="31" spans="1:39">
      <c r="A31" s="21" t="s">
        <v>94</v>
      </c>
      <c r="B31" s="21"/>
      <c r="C31" s="21"/>
      <c r="D31" s="22"/>
      <c r="E31" s="22"/>
      <c r="F31" s="22"/>
      <c r="G31" s="22"/>
      <c r="H31" s="22"/>
      <c r="AK31" t="s">
        <v>95</v>
      </c>
      <c r="AL31" t="s">
        <v>91</v>
      </c>
      <c r="AM31" t="s">
        <v>44</v>
      </c>
    </row>
    <row r="32" spans="1:39">
      <c r="A32" s="21" t="s">
        <v>96</v>
      </c>
      <c r="B32" s="21"/>
      <c r="C32" s="21"/>
      <c r="D32" s="22"/>
      <c r="E32" s="22"/>
      <c r="F32" s="22"/>
      <c r="G32" s="22"/>
      <c r="H32" s="22"/>
      <c r="AK32" t="s">
        <v>97</v>
      </c>
      <c r="AL32" t="s">
        <v>91</v>
      </c>
      <c r="AM32" t="s">
        <v>44</v>
      </c>
    </row>
    <row r="33" spans="1:39">
      <c r="A33" s="21" t="s">
        <v>98</v>
      </c>
      <c r="B33" s="21"/>
      <c r="C33" s="21"/>
      <c r="D33" s="22"/>
      <c r="E33" s="22"/>
      <c r="F33" s="22"/>
      <c r="G33" s="22"/>
      <c r="H33" s="22"/>
      <c r="AK33" t="s">
        <v>99</v>
      </c>
      <c r="AL33" t="s">
        <v>100</v>
      </c>
      <c r="AM33" t="s">
        <v>44</v>
      </c>
    </row>
    <row r="34" spans="1:39">
      <c r="A34" s="33" t="s">
        <v>101</v>
      </c>
      <c r="B34" s="33"/>
      <c r="C34" s="33"/>
      <c r="D34" s="33"/>
      <c r="E34" s="33"/>
      <c r="F34" s="33"/>
      <c r="G34" s="33"/>
      <c r="H34" s="33"/>
      <c r="AK34" t="s">
        <v>102</v>
      </c>
      <c r="AL34" t="s">
        <v>91</v>
      </c>
      <c r="AM34" t="s">
        <v>47</v>
      </c>
    </row>
    <row r="35" spans="1:39">
      <c r="A35" s="21" t="s">
        <v>94</v>
      </c>
      <c r="B35" s="21"/>
      <c r="C35" s="21"/>
      <c r="D35" s="22"/>
      <c r="E35" s="22"/>
      <c r="F35" s="22"/>
      <c r="G35" s="22"/>
      <c r="H35" s="22"/>
      <c r="AK35" t="s">
        <v>103</v>
      </c>
      <c r="AL35" t="s">
        <v>91</v>
      </c>
      <c r="AM35" t="s">
        <v>47</v>
      </c>
    </row>
    <row r="36" spans="1:39">
      <c r="A36" s="21" t="s">
        <v>96</v>
      </c>
      <c r="B36" s="21"/>
      <c r="C36" s="21"/>
      <c r="D36" s="22"/>
      <c r="E36" s="22"/>
      <c r="F36" s="22"/>
      <c r="G36" s="22"/>
      <c r="H36" s="22"/>
      <c r="AK36" t="s">
        <v>104</v>
      </c>
      <c r="AL36" t="s">
        <v>105</v>
      </c>
      <c r="AM36" t="s">
        <v>47</v>
      </c>
    </row>
    <row r="37" spans="1:39">
      <c r="A37" s="21" t="s">
        <v>98</v>
      </c>
      <c r="B37" s="21"/>
      <c r="C37" s="21"/>
      <c r="D37" s="22"/>
      <c r="E37" s="22"/>
      <c r="F37" s="22"/>
      <c r="G37" s="22"/>
      <c r="H37" s="22"/>
      <c r="AK37" t="s">
        <v>106</v>
      </c>
      <c r="AL37" t="s">
        <v>91</v>
      </c>
      <c r="AM37" t="s">
        <v>51</v>
      </c>
    </row>
    <row r="38" spans="1:39">
      <c r="A38" s="18"/>
      <c r="B38" s="19"/>
      <c r="C38" s="19"/>
      <c r="D38" s="19"/>
      <c r="E38" s="19"/>
      <c r="F38" s="19"/>
      <c r="G38" s="19"/>
      <c r="H38" s="20"/>
      <c r="AK38" t="s">
        <v>107</v>
      </c>
      <c r="AL38" t="s">
        <v>49</v>
      </c>
      <c r="AM38" t="s">
        <v>51</v>
      </c>
    </row>
    <row r="39" spans="1:39" ht="13.9">
      <c r="A39" s="26" t="s">
        <v>108</v>
      </c>
      <c r="B39" s="26"/>
      <c r="C39" s="26"/>
      <c r="D39" s="26"/>
      <c r="E39" s="26"/>
      <c r="F39" s="26"/>
      <c r="G39" s="26"/>
      <c r="H39" s="26"/>
      <c r="AK39" t="s">
        <v>109</v>
      </c>
      <c r="AL39" t="s">
        <v>23</v>
      </c>
      <c r="AM39" t="s">
        <v>51</v>
      </c>
    </row>
    <row r="40" spans="1:39" ht="32.25" customHeight="1">
      <c r="A40" s="31" t="s">
        <v>110</v>
      </c>
      <c r="B40" s="31"/>
      <c r="C40" s="31"/>
      <c r="D40" s="31"/>
      <c r="E40" s="31"/>
      <c r="F40" s="31"/>
      <c r="G40" s="31"/>
      <c r="H40" s="31"/>
      <c r="AK40" t="s">
        <v>111</v>
      </c>
      <c r="AL40" t="s">
        <v>37</v>
      </c>
      <c r="AM40" t="s">
        <v>51</v>
      </c>
    </row>
    <row r="41" spans="1:39">
      <c r="A41" s="13" t="s">
        <v>112</v>
      </c>
      <c r="B41" s="13" t="s">
        <v>113</v>
      </c>
      <c r="C41" s="13" t="s">
        <v>114</v>
      </c>
      <c r="D41" s="13" t="s">
        <v>115</v>
      </c>
      <c r="E41" s="13" t="s">
        <v>116</v>
      </c>
      <c r="F41" s="13" t="s">
        <v>117</v>
      </c>
      <c r="G41" s="13" t="s">
        <v>118</v>
      </c>
      <c r="H41" s="13" t="s">
        <v>119</v>
      </c>
      <c r="AK41" t="s">
        <v>120</v>
      </c>
      <c r="AL41" t="s">
        <v>121</v>
      </c>
      <c r="AM41" t="s">
        <v>51</v>
      </c>
    </row>
    <row r="42" spans="1:39">
      <c r="A42" s="14">
        <v>1</v>
      </c>
      <c r="B42" s="14"/>
      <c r="C42" s="14"/>
      <c r="D42" s="15"/>
      <c r="E42" s="14"/>
      <c r="F42" s="15"/>
      <c r="G42" s="14"/>
      <c r="H42" s="15"/>
    </row>
    <row r="43" spans="1:39">
      <c r="A43" s="14">
        <v>2</v>
      </c>
      <c r="B43" s="14"/>
      <c r="C43" s="14"/>
      <c r="D43" s="15"/>
      <c r="E43" s="14"/>
      <c r="F43" s="15"/>
      <c r="G43" s="14"/>
      <c r="H43" s="15"/>
    </row>
    <row r="44" spans="1:39">
      <c r="A44" s="14">
        <v>3</v>
      </c>
      <c r="B44" s="14"/>
      <c r="C44" s="14"/>
      <c r="D44" s="15"/>
      <c r="E44" s="14"/>
      <c r="F44" s="15"/>
      <c r="G44" s="14"/>
      <c r="H44" s="15"/>
    </row>
    <row r="45" spans="1:39">
      <c r="A45" s="14">
        <v>4</v>
      </c>
      <c r="B45" s="14"/>
      <c r="C45" s="14"/>
      <c r="D45" s="15"/>
      <c r="E45" s="14"/>
      <c r="F45" s="15"/>
      <c r="G45" s="14"/>
      <c r="H45" s="15"/>
    </row>
    <row r="46" spans="1:39">
      <c r="A46" s="14">
        <v>5</v>
      </c>
      <c r="B46" s="14"/>
      <c r="C46" s="14"/>
      <c r="D46" s="15"/>
      <c r="E46" s="14"/>
      <c r="F46" s="15"/>
      <c r="G46" s="14"/>
      <c r="H46" s="15"/>
    </row>
    <row r="47" spans="1:39">
      <c r="A47" s="14">
        <v>6</v>
      </c>
      <c r="B47" s="14"/>
      <c r="C47" s="14"/>
      <c r="D47" s="15"/>
      <c r="E47" s="14"/>
      <c r="F47" s="15"/>
      <c r="G47" s="14"/>
      <c r="H47" s="15"/>
    </row>
    <row r="48" spans="1:39">
      <c r="A48" s="14">
        <v>7</v>
      </c>
      <c r="B48" s="14"/>
      <c r="C48" s="14"/>
      <c r="D48" s="15"/>
      <c r="E48" s="14"/>
      <c r="F48" s="15"/>
      <c r="G48" s="14"/>
      <c r="H48" s="15"/>
    </row>
    <row r="49" spans="1:8">
      <c r="A49" s="14">
        <v>8</v>
      </c>
      <c r="B49" s="14"/>
      <c r="C49" s="14"/>
      <c r="D49" s="15"/>
      <c r="E49" s="14"/>
      <c r="F49" s="15"/>
      <c r="G49" s="14"/>
      <c r="H49" s="15"/>
    </row>
    <row r="50" spans="1:8">
      <c r="A50" s="21" t="s">
        <v>122</v>
      </c>
      <c r="B50" s="21"/>
      <c r="C50" s="21"/>
      <c r="D50" s="22"/>
      <c r="E50" s="22"/>
      <c r="F50" s="22"/>
      <c r="G50" s="22"/>
      <c r="H50" s="22"/>
    </row>
    <row r="51" spans="1:8">
      <c r="A51" s="21" t="s">
        <v>123</v>
      </c>
      <c r="B51" s="21"/>
      <c r="C51" s="21"/>
      <c r="D51" s="32"/>
      <c r="E51" s="32"/>
      <c r="F51" s="32"/>
      <c r="G51" s="32"/>
      <c r="H51" s="32"/>
    </row>
    <row r="52" spans="1:8">
      <c r="A52" s="18"/>
      <c r="B52" s="19"/>
      <c r="C52" s="19"/>
      <c r="D52" s="19"/>
      <c r="E52" s="19"/>
      <c r="F52" s="19"/>
      <c r="G52" s="19"/>
      <c r="H52" s="20"/>
    </row>
    <row r="53" spans="1:8" ht="13.9">
      <c r="A53" s="26" t="s">
        <v>124</v>
      </c>
      <c r="B53" s="26"/>
      <c r="C53" s="26"/>
      <c r="D53" s="26"/>
      <c r="E53" s="26"/>
      <c r="F53" s="26"/>
      <c r="G53" s="26"/>
      <c r="H53" s="26"/>
    </row>
    <row r="54" spans="1:8">
      <c r="A54" s="21" t="s">
        <v>125</v>
      </c>
      <c r="B54" s="21"/>
      <c r="C54" s="21"/>
      <c r="D54" s="32"/>
      <c r="E54" s="32"/>
      <c r="F54" s="32"/>
      <c r="G54" s="32"/>
      <c r="H54" s="32"/>
    </row>
    <row r="55" spans="1:8">
      <c r="A55" s="21" t="s">
        <v>126</v>
      </c>
      <c r="B55" s="21"/>
      <c r="C55" s="21"/>
      <c r="D55" s="32"/>
      <c r="E55" s="32"/>
      <c r="F55" s="32"/>
      <c r="G55" s="32"/>
      <c r="H55" s="32"/>
    </row>
    <row r="56" spans="1:8">
      <c r="A56" s="21" t="s">
        <v>127</v>
      </c>
      <c r="B56" s="21"/>
      <c r="C56" s="21"/>
      <c r="D56" s="22"/>
      <c r="E56" s="22"/>
      <c r="F56" s="22"/>
      <c r="G56" s="22"/>
      <c r="H56" s="22"/>
    </row>
    <row r="57" spans="1:8">
      <c r="A57" s="21" t="s">
        <v>128</v>
      </c>
      <c r="B57" s="21"/>
      <c r="C57" s="21"/>
      <c r="D57" s="32"/>
      <c r="E57" s="32"/>
      <c r="F57" s="32"/>
      <c r="G57" s="32"/>
      <c r="H57" s="32"/>
    </row>
    <row r="58" spans="1:8">
      <c r="A58" s="21" t="s">
        <v>129</v>
      </c>
      <c r="B58" s="21"/>
      <c r="C58" s="21"/>
      <c r="D58" s="32"/>
      <c r="E58" s="32"/>
      <c r="F58" s="32"/>
      <c r="G58" s="32"/>
      <c r="H58" s="32"/>
    </row>
    <row r="59" spans="1:8">
      <c r="A59" s="21" t="s">
        <v>130</v>
      </c>
      <c r="B59" s="21"/>
      <c r="C59" s="21"/>
      <c r="D59" s="22"/>
      <c r="E59" s="22"/>
      <c r="F59" s="22"/>
      <c r="G59" s="22"/>
      <c r="H59" s="22"/>
    </row>
    <row r="60" spans="1:8">
      <c r="A60" s="21" t="s">
        <v>131</v>
      </c>
      <c r="B60" s="21"/>
      <c r="C60" s="21"/>
      <c r="D60" s="32"/>
      <c r="E60" s="32"/>
      <c r="F60" s="32"/>
      <c r="G60" s="32"/>
      <c r="H60" s="32"/>
    </row>
    <row r="61" spans="1:8">
      <c r="A61" s="21" t="s">
        <v>132</v>
      </c>
      <c r="B61" s="21"/>
      <c r="C61" s="21"/>
      <c r="D61" s="22"/>
      <c r="E61" s="22"/>
      <c r="F61" s="22"/>
      <c r="G61" s="22"/>
      <c r="H61" s="22"/>
    </row>
    <row r="62" spans="1:8" ht="31.5" customHeight="1">
      <c r="A62" s="31" t="s">
        <v>133</v>
      </c>
      <c r="B62" s="31"/>
      <c r="C62" s="31"/>
      <c r="D62" s="31"/>
      <c r="E62" s="31"/>
      <c r="F62" s="31"/>
      <c r="G62" s="31"/>
      <c r="H62" s="31"/>
    </row>
    <row r="63" spans="1:8">
      <c r="A63" s="18"/>
      <c r="B63" s="19"/>
      <c r="C63" s="19"/>
      <c r="D63" s="19"/>
      <c r="E63" s="19"/>
      <c r="F63" s="19"/>
      <c r="G63" s="19"/>
      <c r="H63" s="20"/>
    </row>
    <row r="64" spans="1:8" ht="13.9">
      <c r="A64" s="26" t="s">
        <v>134</v>
      </c>
      <c r="B64" s="26"/>
      <c r="C64" s="26"/>
      <c r="D64" s="26"/>
      <c r="E64" s="26"/>
      <c r="F64" s="26"/>
      <c r="G64" s="26"/>
      <c r="H64" s="26"/>
    </row>
    <row r="65" spans="1:8">
      <c r="A65" s="21" t="s">
        <v>135</v>
      </c>
      <c r="B65" s="21"/>
      <c r="C65" s="21"/>
      <c r="D65" s="21"/>
      <c r="E65" s="21"/>
      <c r="F65" s="21"/>
      <c r="G65" s="21"/>
      <c r="H65" s="21"/>
    </row>
    <row r="66" spans="1:8">
      <c r="A66" s="22"/>
      <c r="B66" s="22"/>
      <c r="C66" s="22"/>
      <c r="D66" s="22"/>
      <c r="E66" s="22"/>
      <c r="F66" s="22"/>
      <c r="G66" s="22"/>
      <c r="H66" s="22"/>
    </row>
    <row r="67" spans="1:8">
      <c r="A67" s="22"/>
      <c r="B67" s="22"/>
      <c r="C67" s="22"/>
      <c r="D67" s="22"/>
      <c r="E67" s="22"/>
      <c r="F67" s="22"/>
      <c r="G67" s="22"/>
      <c r="H67" s="22"/>
    </row>
    <row r="68" spans="1:8">
      <c r="A68" s="31" t="s">
        <v>136</v>
      </c>
      <c r="B68" s="31"/>
      <c r="C68" s="31"/>
      <c r="D68" s="31"/>
      <c r="E68" s="31"/>
      <c r="F68" s="31"/>
      <c r="G68" s="31"/>
      <c r="H68" s="31"/>
    </row>
    <row r="69" spans="1:8">
      <c r="A69" s="21" t="s">
        <v>137</v>
      </c>
      <c r="B69" s="21"/>
      <c r="C69" s="21"/>
      <c r="D69" s="21"/>
      <c r="E69" s="21"/>
      <c r="F69" s="21"/>
      <c r="G69" s="21"/>
      <c r="H69" s="21"/>
    </row>
    <row r="70" spans="1:8">
      <c r="A70" s="22"/>
      <c r="B70" s="22"/>
      <c r="C70" s="22"/>
      <c r="D70" s="22"/>
      <c r="E70" s="22"/>
      <c r="F70" s="22"/>
      <c r="G70" s="22"/>
      <c r="H70" s="22"/>
    </row>
    <row r="71" spans="1:8">
      <c r="A71" s="22"/>
      <c r="B71" s="22"/>
      <c r="C71" s="22"/>
      <c r="D71" s="22"/>
      <c r="E71" s="22"/>
      <c r="F71" s="22"/>
      <c r="G71" s="22"/>
      <c r="H71" s="22"/>
    </row>
    <row r="72" spans="1:8">
      <c r="A72" s="31" t="s">
        <v>138</v>
      </c>
      <c r="B72" s="31"/>
      <c r="C72" s="31"/>
      <c r="D72" s="31"/>
      <c r="E72" s="31"/>
      <c r="F72" s="31"/>
      <c r="G72" s="31"/>
      <c r="H72" s="31"/>
    </row>
    <row r="73" spans="1:8">
      <c r="A73" s="21" t="s">
        <v>139</v>
      </c>
      <c r="B73" s="21"/>
      <c r="C73" s="21"/>
      <c r="D73" s="21"/>
      <c r="E73" s="21"/>
      <c r="F73" s="21"/>
      <c r="G73" s="21"/>
      <c r="H73" s="21"/>
    </row>
    <row r="74" spans="1:8">
      <c r="A74" s="22"/>
      <c r="B74" s="22"/>
      <c r="C74" s="22"/>
      <c r="D74" s="22"/>
      <c r="E74" s="22"/>
      <c r="F74" s="22"/>
      <c r="G74" s="22"/>
      <c r="H74" s="22"/>
    </row>
    <row r="75" spans="1:8">
      <c r="A75" s="22"/>
      <c r="B75" s="22"/>
      <c r="C75" s="22"/>
      <c r="D75" s="22"/>
      <c r="E75" s="22"/>
      <c r="F75" s="22"/>
      <c r="G75" s="22"/>
      <c r="H75" s="22"/>
    </row>
    <row r="76" spans="1:8">
      <c r="A76" s="22"/>
      <c r="B76" s="22"/>
      <c r="C76" s="22"/>
      <c r="D76" s="22"/>
      <c r="E76" s="22"/>
      <c r="F76" s="22"/>
      <c r="G76" s="22"/>
      <c r="H76" s="22"/>
    </row>
    <row r="77" spans="1:8">
      <c r="A77" s="22"/>
      <c r="B77" s="22"/>
      <c r="C77" s="22"/>
      <c r="D77" s="22"/>
      <c r="E77" s="22"/>
      <c r="F77" s="22"/>
      <c r="G77" s="22"/>
      <c r="H77" s="22"/>
    </row>
    <row r="78" spans="1:8">
      <c r="A78" s="31" t="s">
        <v>140</v>
      </c>
      <c r="B78" s="31"/>
      <c r="C78" s="31"/>
      <c r="D78" s="31"/>
      <c r="E78" s="31"/>
      <c r="F78" s="31"/>
      <c r="G78" s="31"/>
      <c r="H78" s="31"/>
    </row>
    <row r="79" spans="1:8">
      <c r="A79" s="21" t="s">
        <v>141</v>
      </c>
      <c r="B79" s="21"/>
      <c r="C79" s="21"/>
      <c r="D79" s="21"/>
      <c r="E79" s="21"/>
      <c r="F79" s="21"/>
      <c r="G79" s="21"/>
      <c r="H79" s="21"/>
    </row>
    <row r="80" spans="1:8">
      <c r="A80" s="22"/>
      <c r="B80" s="22"/>
      <c r="C80" s="22"/>
      <c r="D80" s="22"/>
      <c r="E80" s="22"/>
      <c r="F80" s="22"/>
      <c r="G80" s="22"/>
      <c r="H80" s="22"/>
    </row>
    <row r="81" spans="1:8">
      <c r="A81" s="22"/>
      <c r="B81" s="22"/>
      <c r="C81" s="22"/>
      <c r="D81" s="22"/>
      <c r="E81" s="22"/>
      <c r="F81" s="22"/>
      <c r="G81" s="22"/>
      <c r="H81" s="22"/>
    </row>
    <row r="82" spans="1:8">
      <c r="A82" s="31" t="s">
        <v>142</v>
      </c>
      <c r="B82" s="31"/>
      <c r="C82" s="31"/>
      <c r="D82" s="31"/>
      <c r="E82" s="31"/>
      <c r="F82" s="31"/>
      <c r="G82" s="31"/>
      <c r="H82" s="31"/>
    </row>
    <row r="83" spans="1:8">
      <c r="A83" s="18"/>
      <c r="B83" s="19"/>
      <c r="C83" s="19"/>
      <c r="D83" s="19"/>
      <c r="E83" s="19"/>
      <c r="F83" s="19"/>
      <c r="G83" s="19"/>
      <c r="H83" s="20"/>
    </row>
    <row r="84" spans="1:8" ht="13.9">
      <c r="A84" s="26" t="s">
        <v>143</v>
      </c>
      <c r="B84" s="26"/>
      <c r="C84" s="26"/>
      <c r="D84" s="26"/>
      <c r="E84" s="26"/>
      <c r="F84" s="26"/>
      <c r="G84" s="26"/>
      <c r="H84" s="26"/>
    </row>
    <row r="85" spans="1:8">
      <c r="A85" s="21" t="s">
        <v>144</v>
      </c>
      <c r="B85" s="21"/>
      <c r="C85" s="21"/>
      <c r="D85" s="21"/>
      <c r="E85" s="21"/>
      <c r="F85" s="21"/>
      <c r="G85" s="21"/>
      <c r="H85" s="21"/>
    </row>
    <row r="86" spans="1:8">
      <c r="A86" s="22"/>
      <c r="B86" s="22"/>
      <c r="C86" s="22"/>
      <c r="D86" s="22"/>
      <c r="E86" s="22"/>
      <c r="F86" s="22"/>
      <c r="G86" s="22"/>
      <c r="H86" s="22"/>
    </row>
    <row r="87" spans="1:8">
      <c r="A87" s="22"/>
      <c r="B87" s="22"/>
      <c r="C87" s="22"/>
      <c r="D87" s="22"/>
      <c r="E87" s="22"/>
      <c r="F87" s="22"/>
      <c r="G87" s="22"/>
      <c r="H87" s="22"/>
    </row>
    <row r="88" spans="1:8">
      <c r="A88" s="22"/>
      <c r="B88" s="22"/>
      <c r="C88" s="22"/>
      <c r="D88" s="22"/>
      <c r="E88" s="22"/>
      <c r="F88" s="22"/>
      <c r="G88" s="22"/>
      <c r="H88" s="22"/>
    </row>
    <row r="89" spans="1:8" ht="33.75" customHeight="1">
      <c r="A89" s="31" t="s">
        <v>145</v>
      </c>
      <c r="B89" s="31"/>
      <c r="C89" s="31"/>
      <c r="D89" s="31"/>
      <c r="E89" s="31"/>
      <c r="F89" s="31"/>
      <c r="G89" s="31"/>
      <c r="H89" s="31"/>
    </row>
    <row r="90" spans="1:8">
      <c r="A90" s="21" t="s">
        <v>146</v>
      </c>
      <c r="B90" s="21"/>
      <c r="C90" s="21"/>
      <c r="D90" s="22"/>
      <c r="E90" s="22"/>
      <c r="F90" s="22"/>
      <c r="G90" s="22"/>
      <c r="H90" s="22"/>
    </row>
    <row r="91" spans="1:8">
      <c r="A91" s="21" t="s">
        <v>147</v>
      </c>
      <c r="B91" s="21"/>
      <c r="C91" s="21"/>
      <c r="D91" s="32" t="s">
        <v>5</v>
      </c>
      <c r="E91" s="32"/>
      <c r="F91" s="32"/>
      <c r="G91" s="32"/>
      <c r="H91" s="32"/>
    </row>
    <row r="92" spans="1:8">
      <c r="A92" s="31" t="s">
        <v>148</v>
      </c>
      <c r="B92" s="31"/>
      <c r="C92" s="31"/>
      <c r="D92" s="31"/>
      <c r="E92" s="31"/>
      <c r="F92" s="31"/>
      <c r="G92" s="31"/>
      <c r="H92" s="31"/>
    </row>
    <row r="93" spans="1:8">
      <c r="A93" s="13" t="s">
        <v>112</v>
      </c>
      <c r="B93" s="13" t="s">
        <v>149</v>
      </c>
      <c r="C93" s="13" t="s">
        <v>150</v>
      </c>
      <c r="D93" s="13" t="s">
        <v>151</v>
      </c>
      <c r="E93" s="13" t="s">
        <v>152</v>
      </c>
      <c r="F93" s="13" t="s">
        <v>153</v>
      </c>
      <c r="G93" s="13" t="s">
        <v>154</v>
      </c>
      <c r="H93" s="13" t="s">
        <v>155</v>
      </c>
    </row>
    <row r="94" spans="1:8" ht="23.25">
      <c r="A94" s="14">
        <v>1</v>
      </c>
      <c r="B94" s="15" t="s">
        <v>21</v>
      </c>
      <c r="C94" s="15" t="s">
        <v>48</v>
      </c>
      <c r="D94" s="16" t="str">
        <f>IF(C94="","",VLOOKUP(C94,$AK$2:$AL$41,2,FALSE))</f>
        <v>m / km</v>
      </c>
      <c r="E94" s="14"/>
      <c r="F94" s="14"/>
      <c r="G94" s="14"/>
      <c r="H94" s="14"/>
    </row>
    <row r="95" spans="1:8">
      <c r="A95" s="14">
        <v>2</v>
      </c>
      <c r="B95" s="15"/>
      <c r="C95" s="15"/>
      <c r="D95" s="16" t="str">
        <f>IF(C95="","",VLOOKUP(C95,$AK$2:$AL$41,2,FALSE))</f>
        <v/>
      </c>
      <c r="E95" s="14"/>
      <c r="F95" s="14"/>
      <c r="G95" s="14"/>
      <c r="H95" s="14"/>
    </row>
    <row r="96" spans="1:8">
      <c r="A96" s="14">
        <v>3</v>
      </c>
      <c r="B96" s="15"/>
      <c r="C96" s="15"/>
      <c r="D96" s="16" t="str">
        <f>IF(C96="","",VLOOKUP(C96,$AK$2:$AL$41,2,FALSE))</f>
        <v/>
      </c>
      <c r="E96" s="14"/>
      <c r="F96" s="14"/>
      <c r="G96" s="14"/>
      <c r="H96" s="14"/>
    </row>
    <row r="97" spans="1:8">
      <c r="A97" s="14">
        <v>4</v>
      </c>
      <c r="B97" s="15"/>
      <c r="C97" s="15"/>
      <c r="D97" s="16" t="str">
        <f>IF(C97="","",VLOOKUP(C97,$AK$2:$AL$41,2,FALSE))</f>
        <v/>
      </c>
      <c r="E97" s="14"/>
      <c r="F97" s="14"/>
      <c r="G97" s="14"/>
      <c r="H97" s="14"/>
    </row>
    <row r="98" spans="1:8">
      <c r="A98" s="14">
        <v>5</v>
      </c>
      <c r="B98" s="15"/>
      <c r="C98" s="15"/>
      <c r="D98" s="16" t="str">
        <f>IF(C98="","",VLOOKUP(C98,$AK$2:$AL$41,2,FALSE))</f>
        <v/>
      </c>
      <c r="E98" s="14"/>
      <c r="F98" s="14"/>
      <c r="G98" s="14"/>
      <c r="H98" s="14"/>
    </row>
    <row r="99" spans="1:8">
      <c r="A99" s="21" t="s">
        <v>156</v>
      </c>
      <c r="B99" s="21"/>
      <c r="C99" s="21"/>
      <c r="D99" s="22"/>
      <c r="E99" s="22"/>
      <c r="F99" s="22"/>
      <c r="G99" s="22"/>
      <c r="H99" s="22"/>
    </row>
    <row r="100" spans="1:8">
      <c r="A100" s="21" t="s">
        <v>157</v>
      </c>
      <c r="B100" s="21"/>
      <c r="C100" s="21"/>
      <c r="D100" s="21"/>
      <c r="E100" s="21"/>
      <c r="F100" s="21"/>
      <c r="G100" s="21"/>
      <c r="H100" s="21"/>
    </row>
    <row r="101" spans="1:8">
      <c r="A101" s="22"/>
      <c r="B101" s="22"/>
      <c r="C101" s="22"/>
      <c r="D101" s="22"/>
      <c r="E101" s="22"/>
      <c r="F101" s="22"/>
      <c r="G101" s="22"/>
      <c r="H101" s="22"/>
    </row>
    <row r="102" spans="1:8">
      <c r="A102" s="22"/>
      <c r="B102" s="22"/>
      <c r="C102" s="22"/>
      <c r="D102" s="22"/>
      <c r="E102" s="22"/>
      <c r="F102" s="22"/>
      <c r="G102" s="22"/>
      <c r="H102" s="22"/>
    </row>
    <row r="103" spans="1:8">
      <c r="A103" s="22"/>
      <c r="B103" s="22"/>
      <c r="C103" s="22"/>
      <c r="D103" s="22"/>
      <c r="E103" s="22"/>
      <c r="F103" s="22"/>
      <c r="G103" s="22"/>
      <c r="H103" s="22"/>
    </row>
    <row r="104" spans="1:8">
      <c r="A104" s="31" t="s">
        <v>158</v>
      </c>
      <c r="B104" s="31"/>
      <c r="C104" s="31"/>
      <c r="D104" s="31"/>
      <c r="E104" s="31"/>
      <c r="F104" s="31"/>
      <c r="G104" s="31"/>
      <c r="H104" s="31"/>
    </row>
    <row r="105" spans="1:8">
      <c r="A105" s="18"/>
      <c r="B105" s="19"/>
      <c r="C105" s="19"/>
      <c r="D105" s="19"/>
      <c r="E105" s="19"/>
      <c r="F105" s="19"/>
      <c r="G105" s="19"/>
      <c r="H105" s="20"/>
    </row>
    <row r="106" spans="1:8" ht="13.9">
      <c r="A106" s="26" t="s">
        <v>159</v>
      </c>
      <c r="B106" s="26"/>
      <c r="C106" s="26"/>
      <c r="D106" s="26"/>
      <c r="E106" s="26"/>
      <c r="F106" s="26"/>
      <c r="G106" s="26"/>
      <c r="H106" s="26"/>
    </row>
    <row r="107" spans="1:8">
      <c r="A107" s="21" t="s">
        <v>160</v>
      </c>
      <c r="B107" s="21"/>
      <c r="C107" s="21"/>
      <c r="D107" s="32" t="s">
        <v>6</v>
      </c>
      <c r="E107" s="32"/>
      <c r="F107" s="32"/>
      <c r="G107" s="32"/>
      <c r="H107" s="32"/>
    </row>
    <row r="108" spans="1:8">
      <c r="A108" s="31" t="s">
        <v>161</v>
      </c>
      <c r="B108" s="31"/>
      <c r="C108" s="31"/>
      <c r="D108" s="31"/>
      <c r="E108" s="31"/>
      <c r="F108" s="31"/>
      <c r="G108" s="31"/>
      <c r="H108" s="31"/>
    </row>
    <row r="109" spans="1:8">
      <c r="A109" s="13" t="s">
        <v>112</v>
      </c>
      <c r="B109" s="13" t="s">
        <v>149</v>
      </c>
      <c r="C109" s="13" t="s">
        <v>150</v>
      </c>
      <c r="D109" s="13" t="s">
        <v>151</v>
      </c>
      <c r="E109" s="13" t="s">
        <v>152</v>
      </c>
      <c r="F109" s="13" t="s">
        <v>153</v>
      </c>
      <c r="G109" s="13" t="s">
        <v>154</v>
      </c>
      <c r="H109" s="13" t="s">
        <v>155</v>
      </c>
    </row>
    <row r="110" spans="1:8">
      <c r="A110" s="14">
        <v>1</v>
      </c>
      <c r="B110" s="15"/>
      <c r="C110" s="15"/>
      <c r="D110" s="16" t="str">
        <f>IF(C110="","",VLOOKUP(C110,$AK$2:$AL$41,2,FALSE))</f>
        <v/>
      </c>
      <c r="E110" s="14"/>
      <c r="F110" s="14"/>
      <c r="G110" s="14"/>
      <c r="H110" s="14"/>
    </row>
    <row r="111" spans="1:8">
      <c r="A111" s="14">
        <v>2</v>
      </c>
      <c r="B111" s="15"/>
      <c r="C111" s="15"/>
      <c r="D111" s="16" t="str">
        <f>IF(C111="","",VLOOKUP(C111,$AK$2:$AL$41,2,FALSE))</f>
        <v/>
      </c>
      <c r="E111" s="14"/>
      <c r="F111" s="14"/>
      <c r="G111" s="14"/>
      <c r="H111" s="14"/>
    </row>
    <row r="112" spans="1:8">
      <c r="A112" s="14">
        <v>3</v>
      </c>
      <c r="B112" s="15"/>
      <c r="C112" s="15"/>
      <c r="D112" s="16" t="str">
        <f>IF(C112="","",VLOOKUP(C112,$AK$2:$AL$41,2,FALSE))</f>
        <v/>
      </c>
      <c r="E112" s="14"/>
      <c r="F112" s="14"/>
      <c r="G112" s="14"/>
      <c r="H112" s="14"/>
    </row>
    <row r="113" spans="1:8">
      <c r="A113" s="21" t="s">
        <v>162</v>
      </c>
      <c r="B113" s="21"/>
      <c r="C113" s="21"/>
      <c r="D113" s="21"/>
      <c r="E113" s="21"/>
      <c r="F113" s="21"/>
      <c r="G113" s="21"/>
      <c r="H113" s="21"/>
    </row>
    <row r="114" spans="1:8">
      <c r="A114" s="22"/>
      <c r="B114" s="22"/>
      <c r="C114" s="22"/>
      <c r="D114" s="22"/>
      <c r="E114" s="22"/>
      <c r="F114" s="22"/>
      <c r="G114" s="22"/>
      <c r="H114" s="22"/>
    </row>
    <row r="115" spans="1:8">
      <c r="A115" s="22"/>
      <c r="B115" s="22"/>
      <c r="C115" s="22"/>
      <c r="D115" s="22"/>
      <c r="E115" s="22"/>
      <c r="F115" s="22"/>
      <c r="G115" s="22"/>
      <c r="H115" s="22"/>
    </row>
    <row r="116" spans="1:8">
      <c r="A116" s="31" t="s">
        <v>163</v>
      </c>
      <c r="B116" s="31"/>
      <c r="C116" s="31"/>
      <c r="D116" s="31"/>
      <c r="E116" s="31"/>
      <c r="F116" s="31"/>
      <c r="G116" s="31"/>
      <c r="H116" s="31"/>
    </row>
    <row r="117" spans="1:8">
      <c r="A117" s="18"/>
      <c r="B117" s="19"/>
      <c r="C117" s="19"/>
      <c r="D117" s="19"/>
      <c r="E117" s="19"/>
      <c r="F117" s="19"/>
      <c r="G117" s="19"/>
      <c r="H117" s="20"/>
    </row>
    <row r="118" spans="1:8" ht="13.9">
      <c r="A118" s="26" t="s">
        <v>164</v>
      </c>
      <c r="B118" s="26"/>
      <c r="C118" s="26"/>
      <c r="D118" s="26"/>
      <c r="E118" s="26"/>
      <c r="F118" s="26"/>
      <c r="G118" s="26"/>
      <c r="H118" s="26"/>
    </row>
    <row r="119" spans="1:8">
      <c r="A119" s="21" t="s">
        <v>165</v>
      </c>
      <c r="B119" s="21"/>
      <c r="C119" s="21"/>
      <c r="D119" s="32"/>
      <c r="E119" s="32"/>
      <c r="F119" s="32"/>
      <c r="G119" s="32"/>
      <c r="H119" s="32"/>
    </row>
    <row r="120" spans="1:8">
      <c r="A120" s="31" t="s">
        <v>166</v>
      </c>
      <c r="B120" s="31"/>
      <c r="C120" s="31"/>
      <c r="D120" s="31"/>
      <c r="E120" s="31"/>
      <c r="F120" s="31"/>
      <c r="G120" s="31"/>
      <c r="H120" s="31"/>
    </row>
    <row r="121" spans="1:8">
      <c r="A121" s="13" t="s">
        <v>112</v>
      </c>
      <c r="B121" s="13" t="s">
        <v>149</v>
      </c>
      <c r="C121" s="13" t="s">
        <v>150</v>
      </c>
      <c r="D121" s="13" t="s">
        <v>151</v>
      </c>
      <c r="E121" s="13" t="s">
        <v>152</v>
      </c>
      <c r="F121" s="13" t="s">
        <v>153</v>
      </c>
      <c r="G121" s="13" t="s">
        <v>154</v>
      </c>
      <c r="H121" s="13" t="s">
        <v>155</v>
      </c>
    </row>
    <row r="122" spans="1:8">
      <c r="A122" s="14">
        <v>1</v>
      </c>
      <c r="B122" s="15"/>
      <c r="C122" s="15"/>
      <c r="D122" s="16" t="str">
        <f>IF(C122="","",VLOOKUP(C122,$AK$2:$AL$41,2,FALSE))</f>
        <v/>
      </c>
      <c r="E122" s="14"/>
      <c r="F122" s="14"/>
      <c r="G122" s="14"/>
      <c r="H122" s="14"/>
    </row>
    <row r="123" spans="1:8">
      <c r="A123" s="14">
        <v>2</v>
      </c>
      <c r="B123" s="15"/>
      <c r="C123" s="15"/>
      <c r="D123" s="16" t="str">
        <f>IF(C123="","",VLOOKUP(C123,$AK$2:$AL$41,2,FALSE))</f>
        <v/>
      </c>
      <c r="E123" s="14"/>
      <c r="F123" s="14"/>
      <c r="G123" s="14"/>
      <c r="H123" s="14"/>
    </row>
    <row r="124" spans="1:8">
      <c r="A124" s="14">
        <v>3</v>
      </c>
      <c r="B124" s="15"/>
      <c r="C124" s="15"/>
      <c r="D124" s="16" t="str">
        <f>IF(C124="","",VLOOKUP(C124,$AK$2:$AL$41,2,FALSE))</f>
        <v/>
      </c>
      <c r="E124" s="14"/>
      <c r="F124" s="14"/>
      <c r="G124" s="14"/>
      <c r="H124" s="14"/>
    </row>
    <row r="125" spans="1:8">
      <c r="A125" s="21" t="s">
        <v>167</v>
      </c>
      <c r="B125" s="21"/>
      <c r="C125" s="21"/>
      <c r="D125" s="21"/>
      <c r="E125" s="21"/>
      <c r="F125" s="21"/>
      <c r="G125" s="21"/>
      <c r="H125" s="21"/>
    </row>
    <row r="126" spans="1:8">
      <c r="A126" s="22"/>
      <c r="B126" s="22"/>
      <c r="C126" s="22"/>
      <c r="D126" s="22"/>
      <c r="E126" s="22"/>
      <c r="F126" s="22"/>
      <c r="G126" s="22"/>
      <c r="H126" s="22"/>
    </row>
    <row r="127" spans="1:8">
      <c r="A127" s="22"/>
      <c r="B127" s="22"/>
      <c r="C127" s="22"/>
      <c r="D127" s="22"/>
      <c r="E127" s="22"/>
      <c r="F127" s="22"/>
      <c r="G127" s="22"/>
      <c r="H127" s="22"/>
    </row>
    <row r="128" spans="1:8">
      <c r="A128" s="31" t="s">
        <v>168</v>
      </c>
      <c r="B128" s="31"/>
      <c r="C128" s="31"/>
      <c r="D128" s="31"/>
      <c r="E128" s="31"/>
      <c r="F128" s="31"/>
      <c r="G128" s="31"/>
      <c r="H128" s="31"/>
    </row>
    <row r="129" spans="1:8">
      <c r="A129" s="18"/>
      <c r="B129" s="19"/>
      <c r="C129" s="19"/>
      <c r="D129" s="19"/>
      <c r="E129" s="19"/>
      <c r="F129" s="19"/>
      <c r="G129" s="19"/>
      <c r="H129" s="20"/>
    </row>
    <row r="130" spans="1:8" ht="13.9">
      <c r="A130" s="26" t="s">
        <v>169</v>
      </c>
      <c r="B130" s="26"/>
      <c r="C130" s="26"/>
      <c r="D130" s="26"/>
      <c r="E130" s="26"/>
      <c r="F130" s="26"/>
      <c r="G130" s="26"/>
      <c r="H130" s="26"/>
    </row>
    <row r="131" spans="1:8">
      <c r="A131" s="21" t="s">
        <v>170</v>
      </c>
      <c r="B131" s="21"/>
      <c r="C131" s="21"/>
      <c r="D131" s="21"/>
      <c r="E131" s="21"/>
      <c r="F131" s="21"/>
      <c r="G131" s="21"/>
      <c r="H131" s="21"/>
    </row>
    <row r="132" spans="1:8">
      <c r="A132" s="22"/>
      <c r="B132" s="22"/>
      <c r="C132" s="22"/>
      <c r="D132" s="22"/>
      <c r="E132" s="22"/>
      <c r="F132" s="22"/>
      <c r="G132" s="22"/>
      <c r="H132" s="22"/>
    </row>
    <row r="133" spans="1:8">
      <c r="A133" s="22"/>
      <c r="B133" s="22"/>
      <c r="C133" s="22"/>
      <c r="D133" s="22"/>
      <c r="E133" s="22"/>
      <c r="F133" s="22"/>
      <c r="G133" s="22"/>
      <c r="H133" s="22"/>
    </row>
    <row r="134" spans="1:8">
      <c r="A134" s="31" t="s">
        <v>171</v>
      </c>
      <c r="B134" s="31"/>
      <c r="C134" s="31"/>
      <c r="D134" s="31"/>
      <c r="E134" s="31"/>
      <c r="F134" s="31"/>
      <c r="G134" s="31"/>
      <c r="H134" s="31"/>
    </row>
    <row r="135" spans="1:8">
      <c r="A135" s="21" t="s">
        <v>172</v>
      </c>
      <c r="B135" s="21"/>
      <c r="C135" s="21"/>
      <c r="D135" s="21"/>
      <c r="E135" s="21"/>
      <c r="F135" s="21"/>
      <c r="G135" s="21"/>
      <c r="H135" s="21"/>
    </row>
    <row r="136" spans="1:8">
      <c r="A136" s="22"/>
      <c r="B136" s="22"/>
      <c r="C136" s="22"/>
      <c r="D136" s="22"/>
      <c r="E136" s="22"/>
      <c r="F136" s="22"/>
      <c r="G136" s="22"/>
      <c r="H136" s="22"/>
    </row>
    <row r="137" spans="1:8">
      <c r="A137" s="22"/>
      <c r="B137" s="22"/>
      <c r="C137" s="22"/>
      <c r="D137" s="22"/>
      <c r="E137" s="22"/>
      <c r="F137" s="22"/>
      <c r="G137" s="22"/>
      <c r="H137" s="22"/>
    </row>
    <row r="138" spans="1:8">
      <c r="A138" s="31" t="s">
        <v>173</v>
      </c>
      <c r="B138" s="31"/>
      <c r="C138" s="31"/>
      <c r="D138" s="31"/>
      <c r="E138" s="31"/>
      <c r="F138" s="31"/>
      <c r="G138" s="31"/>
      <c r="H138" s="31"/>
    </row>
    <row r="139" spans="1:8">
      <c r="A139" s="21" t="s">
        <v>174</v>
      </c>
      <c r="B139" s="21"/>
      <c r="C139" s="21"/>
      <c r="D139" s="21"/>
      <c r="E139" s="21"/>
      <c r="F139" s="21"/>
      <c r="G139" s="21"/>
      <c r="H139" s="21"/>
    </row>
    <row r="140" spans="1:8">
      <c r="A140" s="22"/>
      <c r="B140" s="22"/>
      <c r="C140" s="22"/>
      <c r="D140" s="22"/>
      <c r="E140" s="22"/>
      <c r="F140" s="22"/>
      <c r="G140" s="22"/>
      <c r="H140" s="22"/>
    </row>
    <row r="141" spans="1:8">
      <c r="A141" s="22"/>
      <c r="B141" s="22"/>
      <c r="C141" s="22"/>
      <c r="D141" s="22"/>
      <c r="E141" s="22"/>
      <c r="F141" s="22"/>
      <c r="G141" s="22"/>
      <c r="H141" s="22"/>
    </row>
    <row r="142" spans="1:8">
      <c r="A142" s="31" t="s">
        <v>175</v>
      </c>
      <c r="B142" s="31"/>
      <c r="C142" s="31"/>
      <c r="D142" s="31"/>
      <c r="E142" s="31"/>
      <c r="F142" s="31"/>
      <c r="G142" s="31"/>
      <c r="H142" s="31"/>
    </row>
    <row r="143" spans="1:8">
      <c r="A143" s="18"/>
      <c r="B143" s="19"/>
      <c r="C143" s="19"/>
      <c r="D143" s="19"/>
      <c r="E143" s="19"/>
      <c r="F143" s="19"/>
      <c r="G143" s="19"/>
      <c r="H143" s="20"/>
    </row>
    <row r="144" spans="1:8" ht="13.9">
      <c r="A144" s="26" t="s">
        <v>176</v>
      </c>
      <c r="B144" s="26"/>
      <c r="C144" s="26"/>
      <c r="D144" s="26"/>
      <c r="E144" s="26"/>
      <c r="F144" s="26"/>
      <c r="G144" s="26"/>
      <c r="H144" s="26"/>
    </row>
    <row r="145" spans="1:8">
      <c r="A145" s="21" t="s">
        <v>177</v>
      </c>
      <c r="B145" s="21"/>
      <c r="C145" s="21"/>
      <c r="D145" s="21"/>
      <c r="E145" s="21"/>
      <c r="F145" s="21"/>
      <c r="G145" s="21"/>
      <c r="H145" s="21"/>
    </row>
    <row r="146" spans="1:8">
      <c r="A146" s="22"/>
      <c r="B146" s="22"/>
      <c r="C146" s="22"/>
      <c r="D146" s="22"/>
      <c r="E146" s="22"/>
      <c r="F146" s="22"/>
      <c r="G146" s="22"/>
      <c r="H146" s="22"/>
    </row>
    <row r="147" spans="1:8">
      <c r="A147" s="22"/>
      <c r="B147" s="22"/>
      <c r="C147" s="22"/>
      <c r="D147" s="22"/>
      <c r="E147" s="22"/>
      <c r="F147" s="22"/>
      <c r="G147" s="22"/>
      <c r="H147" s="22"/>
    </row>
    <row r="148" spans="1:8">
      <c r="A148" s="31" t="s">
        <v>178</v>
      </c>
      <c r="B148" s="31"/>
      <c r="C148" s="31"/>
      <c r="D148" s="31"/>
      <c r="E148" s="31"/>
      <c r="F148" s="31"/>
      <c r="G148" s="31"/>
      <c r="H148" s="31"/>
    </row>
    <row r="149" spans="1:8">
      <c r="A149" s="21" t="s">
        <v>179</v>
      </c>
      <c r="B149" s="21"/>
      <c r="C149" s="21"/>
      <c r="D149" s="21"/>
      <c r="E149" s="21"/>
      <c r="F149" s="21"/>
      <c r="G149" s="21"/>
      <c r="H149" s="21"/>
    </row>
    <row r="150" spans="1:8">
      <c r="A150" s="22"/>
      <c r="B150" s="22"/>
      <c r="C150" s="22"/>
      <c r="D150" s="22"/>
      <c r="E150" s="22"/>
      <c r="F150" s="22"/>
      <c r="G150" s="22"/>
      <c r="H150" s="22"/>
    </row>
    <row r="151" spans="1:8">
      <c r="A151" s="22"/>
      <c r="B151" s="22"/>
      <c r="C151" s="22"/>
      <c r="D151" s="22"/>
      <c r="E151" s="22"/>
      <c r="F151" s="22"/>
      <c r="G151" s="22"/>
      <c r="H151" s="22"/>
    </row>
    <row r="152" spans="1:8">
      <c r="A152" s="31" t="s">
        <v>180</v>
      </c>
      <c r="B152" s="31"/>
      <c r="C152" s="31"/>
      <c r="D152" s="31"/>
      <c r="E152" s="31"/>
      <c r="F152" s="31"/>
      <c r="G152" s="31"/>
      <c r="H152" s="31"/>
    </row>
    <row r="153" spans="1:8">
      <c r="A153" s="21" t="s">
        <v>181</v>
      </c>
      <c r="B153" s="21"/>
      <c r="C153" s="21"/>
      <c r="D153" s="22"/>
      <c r="E153" s="22"/>
      <c r="F153" s="22"/>
      <c r="G153" s="22"/>
      <c r="H153" s="22"/>
    </row>
    <row r="154" spans="1:8">
      <c r="A154" s="21" t="s">
        <v>182</v>
      </c>
      <c r="B154" s="21"/>
      <c r="C154" s="21"/>
      <c r="D154" s="22"/>
      <c r="E154" s="22"/>
      <c r="F154" s="22"/>
      <c r="G154" s="22"/>
      <c r="H154" s="22"/>
    </row>
    <row r="155" spans="1:8">
      <c r="A155" s="18"/>
      <c r="B155" s="19"/>
      <c r="C155" s="19"/>
      <c r="D155" s="19"/>
      <c r="E155" s="19"/>
      <c r="F155" s="19"/>
      <c r="G155" s="19"/>
      <c r="H155" s="20"/>
    </row>
    <row r="156" spans="1:8" ht="13.9">
      <c r="A156" s="26" t="s">
        <v>183</v>
      </c>
      <c r="B156" s="26"/>
      <c r="C156" s="26"/>
      <c r="D156" s="26"/>
      <c r="E156" s="26"/>
      <c r="F156" s="26"/>
      <c r="G156" s="26"/>
      <c r="H156" s="26"/>
    </row>
    <row r="157" spans="1:8">
      <c r="A157" s="31" t="s">
        <v>184</v>
      </c>
      <c r="B157" s="31"/>
      <c r="C157" s="31"/>
      <c r="D157" s="31"/>
      <c r="E157" s="31"/>
      <c r="F157" s="31"/>
      <c r="G157" s="31"/>
      <c r="H157" s="31"/>
    </row>
    <row r="158" spans="1:8">
      <c r="A158" s="13" t="s">
        <v>112</v>
      </c>
      <c r="B158" s="13" t="s">
        <v>185</v>
      </c>
      <c r="C158" s="34" t="s">
        <v>186</v>
      </c>
      <c r="D158" s="34"/>
      <c r="E158" s="34"/>
      <c r="F158" s="34" t="s">
        <v>187</v>
      </c>
      <c r="G158" s="34"/>
      <c r="H158" s="34"/>
    </row>
    <row r="159" spans="1:8">
      <c r="A159" s="14">
        <v>1</v>
      </c>
      <c r="B159" s="14"/>
      <c r="C159" s="35"/>
      <c r="D159" s="35"/>
      <c r="E159" s="35"/>
      <c r="F159" s="35"/>
      <c r="G159" s="35"/>
      <c r="H159" s="35"/>
    </row>
    <row r="160" spans="1:8">
      <c r="A160" s="14">
        <v>2</v>
      </c>
      <c r="B160" s="14"/>
      <c r="C160" s="35"/>
      <c r="D160" s="35"/>
      <c r="E160" s="35"/>
      <c r="F160" s="35"/>
      <c r="G160" s="35"/>
      <c r="H160" s="35"/>
    </row>
    <row r="161" spans="1:8">
      <c r="A161" s="14">
        <v>3</v>
      </c>
      <c r="B161" s="14"/>
      <c r="C161" s="35"/>
      <c r="D161" s="35"/>
      <c r="E161" s="35"/>
      <c r="F161" s="35"/>
      <c r="G161" s="35"/>
      <c r="H161" s="35"/>
    </row>
    <row r="162" spans="1:8">
      <c r="A162" s="14">
        <v>4</v>
      </c>
      <c r="B162" s="14"/>
      <c r="C162" s="35"/>
      <c r="D162" s="35"/>
      <c r="E162" s="35"/>
      <c r="F162" s="35"/>
      <c r="G162" s="35"/>
      <c r="H162" s="35"/>
    </row>
    <row r="163" spans="1:8">
      <c r="A163" s="18"/>
      <c r="B163" s="19"/>
      <c r="C163" s="19"/>
      <c r="D163" s="19"/>
      <c r="E163" s="19"/>
      <c r="F163" s="19"/>
      <c r="G163" s="19"/>
      <c r="H163" s="20"/>
    </row>
    <row r="164" spans="1:8" ht="13.9">
      <c r="A164" s="26" t="s">
        <v>188</v>
      </c>
      <c r="B164" s="26"/>
      <c r="C164" s="26"/>
      <c r="D164" s="26"/>
      <c r="E164" s="26"/>
      <c r="F164" s="26"/>
      <c r="G164" s="26"/>
      <c r="H164" s="26"/>
    </row>
    <row r="165" spans="1:8">
      <c r="A165" s="31" t="s">
        <v>189</v>
      </c>
      <c r="B165" s="31"/>
      <c r="C165" s="31"/>
      <c r="D165" s="31"/>
      <c r="E165" s="31"/>
      <c r="F165" s="31"/>
      <c r="G165" s="31"/>
      <c r="H165" s="31"/>
    </row>
    <row r="166" spans="1:8">
      <c r="A166" s="13" t="s">
        <v>112</v>
      </c>
      <c r="B166" s="34" t="s">
        <v>190</v>
      </c>
      <c r="C166" s="34"/>
      <c r="D166" s="13" t="s">
        <v>191</v>
      </c>
      <c r="E166" s="13" t="s">
        <v>192</v>
      </c>
      <c r="F166" s="34" t="s">
        <v>193</v>
      </c>
      <c r="G166" s="34"/>
      <c r="H166" s="34"/>
    </row>
    <row r="167" spans="1:8">
      <c r="A167" s="14">
        <v>1</v>
      </c>
      <c r="B167" s="35"/>
      <c r="C167" s="35"/>
      <c r="D167" s="14"/>
      <c r="E167" s="14"/>
      <c r="F167" s="35"/>
      <c r="G167" s="35"/>
      <c r="H167" s="35"/>
    </row>
    <row r="168" spans="1:8">
      <c r="A168" s="14">
        <v>2</v>
      </c>
      <c r="B168" s="35"/>
      <c r="C168" s="35"/>
      <c r="D168" s="14"/>
      <c r="E168" s="14"/>
      <c r="F168" s="35"/>
      <c r="G168" s="35"/>
      <c r="H168" s="35"/>
    </row>
    <row r="169" spans="1:8">
      <c r="A169" s="14">
        <v>3</v>
      </c>
      <c r="B169" s="35"/>
      <c r="C169" s="35"/>
      <c r="D169" s="14"/>
      <c r="E169" s="14"/>
      <c r="F169" s="35"/>
      <c r="G169" s="35"/>
      <c r="H169" s="35"/>
    </row>
    <row r="170" spans="1:8">
      <c r="A170" s="14">
        <v>4</v>
      </c>
      <c r="B170" s="35"/>
      <c r="C170" s="35"/>
      <c r="D170" s="14"/>
      <c r="E170" s="14"/>
      <c r="F170" s="35"/>
      <c r="G170" s="35"/>
      <c r="H170" s="35"/>
    </row>
    <row r="171" spans="1:8">
      <c r="A171" s="14">
        <v>5</v>
      </c>
      <c r="B171" s="35"/>
      <c r="C171" s="35"/>
      <c r="D171" s="14"/>
      <c r="E171" s="14"/>
      <c r="F171" s="35"/>
      <c r="G171" s="35"/>
      <c r="H171" s="35"/>
    </row>
    <row r="172" spans="1:8">
      <c r="A172" s="14">
        <v>6</v>
      </c>
      <c r="B172" s="35"/>
      <c r="C172" s="35"/>
      <c r="D172" s="14"/>
      <c r="E172" s="14"/>
      <c r="F172" s="35"/>
      <c r="G172" s="35"/>
      <c r="H172" s="35"/>
    </row>
    <row r="173" spans="1:8">
      <c r="A173" s="14">
        <v>7</v>
      </c>
      <c r="B173" s="35"/>
      <c r="C173" s="35"/>
      <c r="D173" s="14"/>
      <c r="E173" s="14"/>
      <c r="F173" s="35"/>
      <c r="G173" s="35"/>
      <c r="H173" s="35"/>
    </row>
    <row r="174" spans="1:8">
      <c r="A174" s="14">
        <v>8</v>
      </c>
      <c r="B174" s="35"/>
      <c r="C174" s="35"/>
      <c r="D174" s="14"/>
      <c r="E174" s="14"/>
      <c r="F174" s="35"/>
      <c r="G174" s="35"/>
      <c r="H174" s="35"/>
    </row>
    <row r="175" spans="1:8">
      <c r="A175" s="18"/>
      <c r="B175" s="19"/>
      <c r="C175" s="19"/>
      <c r="D175" s="19"/>
      <c r="E175" s="19"/>
      <c r="F175" s="19"/>
      <c r="G175" s="19"/>
      <c r="H175" s="20"/>
    </row>
    <row r="176" spans="1:8" ht="13.9">
      <c r="A176" s="26" t="s">
        <v>194</v>
      </c>
      <c r="B176" s="26"/>
      <c r="C176" s="26"/>
      <c r="D176" s="26"/>
      <c r="E176" s="26"/>
      <c r="F176" s="26"/>
      <c r="G176" s="26"/>
      <c r="H176" s="26"/>
    </row>
    <row r="177" spans="1:8">
      <c r="A177" s="21" t="s">
        <v>195</v>
      </c>
      <c r="B177" s="21"/>
      <c r="C177" s="21"/>
      <c r="D177" s="32"/>
      <c r="E177" s="32"/>
      <c r="F177" s="32"/>
      <c r="G177" s="32"/>
      <c r="H177" s="32"/>
    </row>
    <row r="178" spans="1:8">
      <c r="A178" s="21" t="s">
        <v>196</v>
      </c>
      <c r="B178" s="21"/>
      <c r="C178" s="21"/>
      <c r="D178" s="32"/>
      <c r="E178" s="32"/>
      <c r="F178" s="32"/>
      <c r="G178" s="32"/>
      <c r="H178" s="32"/>
    </row>
    <row r="179" spans="1:8">
      <c r="A179" s="21" t="s">
        <v>197</v>
      </c>
      <c r="B179" s="21"/>
      <c r="C179" s="21"/>
      <c r="D179" s="32"/>
      <c r="E179" s="32"/>
      <c r="F179" s="32"/>
      <c r="G179" s="32"/>
      <c r="H179" s="32"/>
    </row>
    <row r="180" spans="1:8">
      <c r="A180" s="21" t="s">
        <v>198</v>
      </c>
      <c r="B180" s="21"/>
      <c r="C180" s="21"/>
      <c r="D180" s="32"/>
      <c r="E180" s="32"/>
      <c r="F180" s="32"/>
      <c r="G180" s="32"/>
      <c r="H180" s="32"/>
    </row>
    <row r="181" spans="1:8">
      <c r="A181" s="21" t="s">
        <v>199</v>
      </c>
      <c r="B181" s="21"/>
      <c r="C181" s="21"/>
      <c r="D181" s="32"/>
      <c r="E181" s="32"/>
      <c r="F181" s="32"/>
      <c r="G181" s="32"/>
      <c r="H181" s="32"/>
    </row>
    <row r="182" spans="1:8">
      <c r="A182" s="21" t="s">
        <v>200</v>
      </c>
      <c r="B182" s="21"/>
      <c r="C182" s="21"/>
      <c r="D182" s="29">
        <f>SUM(E185:E192)</f>
        <v>0</v>
      </c>
      <c r="E182" s="30"/>
      <c r="F182" s="30"/>
      <c r="G182" s="30"/>
      <c r="H182" s="30"/>
    </row>
    <row r="183" spans="1:8">
      <c r="A183" s="31" t="s">
        <v>201</v>
      </c>
      <c r="B183" s="31"/>
      <c r="C183" s="31"/>
      <c r="D183" s="31"/>
      <c r="E183" s="31"/>
      <c r="F183" s="31"/>
      <c r="G183" s="31"/>
      <c r="H183" s="31"/>
    </row>
    <row r="184" spans="1:8" ht="34.9">
      <c r="A184" s="13" t="s">
        <v>202</v>
      </c>
      <c r="B184" s="13" t="s">
        <v>203</v>
      </c>
      <c r="C184" s="34" t="s">
        <v>204</v>
      </c>
      <c r="D184" s="34"/>
      <c r="E184" s="13" t="s">
        <v>205</v>
      </c>
      <c r="F184" s="13" t="s">
        <v>206</v>
      </c>
      <c r="G184" s="34" t="s">
        <v>207</v>
      </c>
      <c r="H184" s="34"/>
    </row>
    <row r="185" spans="1:8">
      <c r="A185" s="14"/>
      <c r="B185" s="14"/>
      <c r="C185" s="35"/>
      <c r="D185" s="35"/>
      <c r="E185" s="17"/>
      <c r="F185" s="14"/>
      <c r="G185" s="35"/>
      <c r="H185" s="35"/>
    </row>
    <row r="186" spans="1:8">
      <c r="A186" s="14"/>
      <c r="B186" s="14"/>
      <c r="C186" s="35"/>
      <c r="D186" s="35"/>
      <c r="E186" s="17"/>
      <c r="F186" s="14"/>
      <c r="G186" s="35"/>
      <c r="H186" s="35"/>
    </row>
    <row r="187" spans="1:8">
      <c r="A187" s="14"/>
      <c r="B187" s="14"/>
      <c r="C187" s="35"/>
      <c r="D187" s="35"/>
      <c r="E187" s="17"/>
      <c r="F187" s="14"/>
      <c r="G187" s="35"/>
      <c r="H187" s="35"/>
    </row>
    <row r="188" spans="1:8">
      <c r="A188" s="14"/>
      <c r="B188" s="14"/>
      <c r="C188" s="35"/>
      <c r="D188" s="35"/>
      <c r="E188" s="17"/>
      <c r="F188" s="14"/>
      <c r="G188" s="35"/>
      <c r="H188" s="35"/>
    </row>
    <row r="189" spans="1:8">
      <c r="A189" s="14"/>
      <c r="B189" s="14"/>
      <c r="C189" s="35"/>
      <c r="D189" s="35"/>
      <c r="E189" s="17"/>
      <c r="F189" s="14"/>
      <c r="G189" s="35"/>
      <c r="H189" s="35"/>
    </row>
    <row r="190" spans="1:8">
      <c r="A190" s="14"/>
      <c r="B190" s="14"/>
      <c r="C190" s="35"/>
      <c r="D190" s="35"/>
      <c r="E190" s="17"/>
      <c r="F190" s="14"/>
      <c r="G190" s="35"/>
      <c r="H190" s="35"/>
    </row>
    <row r="191" spans="1:8">
      <c r="A191" s="14"/>
      <c r="B191" s="14"/>
      <c r="C191" s="35"/>
      <c r="D191" s="35"/>
      <c r="E191" s="17"/>
      <c r="F191" s="14"/>
      <c r="G191" s="35"/>
      <c r="H191" s="35"/>
    </row>
    <row r="192" spans="1:8">
      <c r="A192" s="14"/>
      <c r="B192" s="14"/>
      <c r="C192" s="35"/>
      <c r="D192" s="35"/>
      <c r="E192" s="17"/>
      <c r="F192" s="14"/>
      <c r="G192" s="35"/>
      <c r="H192" s="35"/>
    </row>
    <row r="193" spans="1:8">
      <c r="A193" s="31" t="s">
        <v>208</v>
      </c>
      <c r="B193" s="31"/>
      <c r="C193" s="31"/>
      <c r="D193" s="31"/>
      <c r="E193" s="31"/>
      <c r="F193" s="31"/>
      <c r="G193" s="31"/>
      <c r="H193" s="31"/>
    </row>
    <row r="194" spans="1:8">
      <c r="A194" s="18"/>
      <c r="B194" s="19"/>
      <c r="C194" s="19"/>
      <c r="D194" s="19"/>
      <c r="E194" s="19"/>
      <c r="F194" s="19"/>
      <c r="G194" s="19"/>
      <c r="H194" s="20"/>
    </row>
    <row r="195" spans="1:8" ht="13.9">
      <c r="A195" s="26" t="s">
        <v>209</v>
      </c>
      <c r="B195" s="26"/>
      <c r="C195" s="26"/>
      <c r="D195" s="26"/>
      <c r="E195" s="26"/>
      <c r="F195" s="26"/>
      <c r="G195" s="26"/>
      <c r="H195" s="26"/>
    </row>
    <row r="196" spans="1:8">
      <c r="A196" s="21" t="s">
        <v>210</v>
      </c>
      <c r="B196" s="21"/>
      <c r="C196" s="21"/>
      <c r="D196" s="21"/>
      <c r="E196" s="21"/>
      <c r="F196" s="21"/>
      <c r="G196" s="21"/>
      <c r="H196" s="21"/>
    </row>
    <row r="197" spans="1:8">
      <c r="A197" s="22"/>
      <c r="B197" s="22"/>
      <c r="C197" s="22"/>
      <c r="D197" s="22"/>
      <c r="E197" s="22"/>
      <c r="F197" s="22"/>
      <c r="G197" s="22"/>
      <c r="H197" s="22"/>
    </row>
    <row r="198" spans="1:8">
      <c r="A198" s="22"/>
      <c r="B198" s="22"/>
      <c r="C198" s="22"/>
      <c r="D198" s="22"/>
      <c r="E198" s="22"/>
      <c r="F198" s="22"/>
      <c r="G198" s="22"/>
      <c r="H198" s="22"/>
    </row>
    <row r="199" spans="1:8">
      <c r="A199" s="31" t="s">
        <v>211</v>
      </c>
      <c r="B199" s="31"/>
      <c r="C199" s="31"/>
      <c r="D199" s="31"/>
      <c r="E199" s="31"/>
      <c r="F199" s="31"/>
      <c r="G199" s="31"/>
      <c r="H199" s="31"/>
    </row>
    <row r="200" spans="1:8">
      <c r="A200" s="21" t="s">
        <v>212</v>
      </c>
      <c r="B200" s="21"/>
      <c r="C200" s="21"/>
      <c r="D200" s="21"/>
      <c r="E200" s="21"/>
      <c r="F200" s="21"/>
      <c r="G200" s="21"/>
      <c r="H200" s="21"/>
    </row>
    <row r="201" spans="1:8">
      <c r="A201" s="22"/>
      <c r="B201" s="22"/>
      <c r="C201" s="22"/>
      <c r="D201" s="22"/>
      <c r="E201" s="22"/>
      <c r="F201" s="22"/>
      <c r="G201" s="22"/>
      <c r="H201" s="22"/>
    </row>
    <row r="202" spans="1:8">
      <c r="A202" s="22"/>
      <c r="B202" s="22"/>
      <c r="C202" s="22"/>
      <c r="D202" s="22"/>
      <c r="E202" s="22"/>
      <c r="F202" s="22"/>
      <c r="G202" s="22"/>
      <c r="H202" s="22"/>
    </row>
    <row r="203" spans="1:8">
      <c r="A203" s="31" t="s">
        <v>213</v>
      </c>
      <c r="B203" s="31"/>
      <c r="C203" s="31"/>
      <c r="D203" s="31"/>
      <c r="E203" s="31"/>
      <c r="F203" s="31"/>
      <c r="G203" s="31"/>
      <c r="H203" s="31"/>
    </row>
    <row r="204" spans="1:8">
      <c r="A204" s="18"/>
      <c r="B204" s="19"/>
      <c r="C204" s="19"/>
      <c r="D204" s="19"/>
      <c r="E204" s="19"/>
      <c r="F204" s="19"/>
      <c r="G204" s="19"/>
      <c r="H204" s="20"/>
    </row>
    <row r="205" spans="1:8" ht="13.9">
      <c r="A205" s="26" t="s">
        <v>214</v>
      </c>
      <c r="B205" s="26"/>
      <c r="C205" s="26"/>
      <c r="D205" s="26"/>
      <c r="E205" s="26"/>
      <c r="F205" s="26"/>
      <c r="G205" s="26"/>
      <c r="H205" s="26"/>
    </row>
    <row r="206" spans="1:8">
      <c r="A206" s="13" t="s">
        <v>112</v>
      </c>
      <c r="B206" s="34" t="s">
        <v>215</v>
      </c>
      <c r="C206" s="34"/>
      <c r="D206" s="34"/>
      <c r="E206" s="34"/>
      <c r="F206" s="13" t="s">
        <v>216</v>
      </c>
      <c r="G206" s="34" t="s">
        <v>217</v>
      </c>
      <c r="H206" s="34"/>
    </row>
    <row r="207" spans="1:8">
      <c r="A207" s="14">
        <v>1</v>
      </c>
      <c r="B207" s="35" t="s">
        <v>218</v>
      </c>
      <c r="C207" s="35"/>
      <c r="D207" s="35"/>
      <c r="E207" s="35"/>
      <c r="F207" s="15"/>
      <c r="G207" s="35"/>
      <c r="H207" s="35"/>
    </row>
    <row r="208" spans="1:8">
      <c r="A208" s="14">
        <v>2</v>
      </c>
      <c r="B208" s="35" t="s">
        <v>219</v>
      </c>
      <c r="C208" s="35"/>
      <c r="D208" s="35"/>
      <c r="E208" s="35"/>
      <c r="F208" s="15"/>
      <c r="G208" s="35"/>
      <c r="H208" s="35"/>
    </row>
    <row r="209" spans="1:8">
      <c r="A209" s="14">
        <v>3</v>
      </c>
      <c r="B209" s="35" t="s">
        <v>220</v>
      </c>
      <c r="C209" s="35"/>
      <c r="D209" s="35"/>
      <c r="E209" s="35"/>
      <c r="F209" s="15"/>
      <c r="G209" s="35"/>
      <c r="H209" s="35"/>
    </row>
    <row r="210" spans="1:8">
      <c r="A210" s="14">
        <v>4</v>
      </c>
      <c r="B210" s="35" t="s">
        <v>221</v>
      </c>
      <c r="C210" s="35"/>
      <c r="D210" s="35"/>
      <c r="E210" s="35"/>
      <c r="F210" s="15"/>
      <c r="G210" s="35"/>
      <c r="H210" s="35"/>
    </row>
    <row r="211" spans="1:8">
      <c r="A211" s="14">
        <v>5</v>
      </c>
      <c r="B211" s="35" t="s">
        <v>222</v>
      </c>
      <c r="C211" s="35"/>
      <c r="D211" s="35"/>
      <c r="E211" s="35"/>
      <c r="F211" s="15"/>
      <c r="G211" s="35"/>
      <c r="H211" s="35"/>
    </row>
    <row r="212" spans="1:8">
      <c r="A212" s="14">
        <v>6</v>
      </c>
      <c r="B212" s="35" t="s">
        <v>223</v>
      </c>
      <c r="C212" s="35"/>
      <c r="D212" s="35"/>
      <c r="E212" s="35"/>
      <c r="F212" s="15"/>
      <c r="G212" s="35"/>
      <c r="H212" s="35"/>
    </row>
    <row r="213" spans="1:8">
      <c r="A213" s="14">
        <v>7</v>
      </c>
      <c r="B213" s="35" t="s">
        <v>224</v>
      </c>
      <c r="C213" s="35"/>
      <c r="D213" s="35"/>
      <c r="E213" s="35"/>
      <c r="F213" s="15"/>
      <c r="G213" s="35"/>
      <c r="H213" s="35"/>
    </row>
    <row r="214" spans="1:8">
      <c r="A214" s="14">
        <v>8</v>
      </c>
      <c r="B214" s="35" t="s">
        <v>225</v>
      </c>
      <c r="C214" s="35"/>
      <c r="D214" s="35"/>
      <c r="E214" s="35"/>
      <c r="F214" s="15"/>
      <c r="G214" s="35"/>
      <c r="H214" s="35"/>
    </row>
    <row r="215" spans="1:8">
      <c r="A215" s="14">
        <v>9</v>
      </c>
      <c r="B215" s="35" t="s">
        <v>226</v>
      </c>
      <c r="C215" s="35"/>
      <c r="D215" s="35"/>
      <c r="E215" s="35"/>
      <c r="F215" s="15"/>
      <c r="G215" s="35"/>
      <c r="H215" s="35"/>
    </row>
    <row r="216" spans="1:8">
      <c r="A216" s="14">
        <v>10</v>
      </c>
      <c r="B216" s="35" t="s">
        <v>227</v>
      </c>
      <c r="C216" s="35"/>
      <c r="D216" s="35"/>
      <c r="E216" s="35"/>
      <c r="F216" s="15"/>
      <c r="G216" s="35"/>
      <c r="H216" s="35"/>
    </row>
    <row r="217" spans="1:8">
      <c r="A217" s="14">
        <v>11</v>
      </c>
      <c r="B217" s="35" t="s">
        <v>228</v>
      </c>
      <c r="C217" s="35"/>
      <c r="D217" s="35"/>
      <c r="E217" s="35"/>
      <c r="F217" s="15"/>
      <c r="G217" s="35"/>
      <c r="H217" s="35"/>
    </row>
    <row r="218" spans="1:8">
      <c r="A218" s="14">
        <v>12</v>
      </c>
      <c r="B218" s="35" t="s">
        <v>197</v>
      </c>
      <c r="C218" s="35"/>
      <c r="D218" s="35"/>
      <c r="E218" s="35"/>
      <c r="F218" s="15"/>
      <c r="G218" s="35"/>
      <c r="H218" s="35"/>
    </row>
    <row r="219" spans="1:8">
      <c r="A219" s="14">
        <v>13</v>
      </c>
      <c r="B219" s="35" t="s">
        <v>198</v>
      </c>
      <c r="C219" s="35"/>
      <c r="D219" s="35"/>
      <c r="E219" s="35"/>
      <c r="F219" s="15"/>
      <c r="G219" s="35"/>
      <c r="H219" s="35"/>
    </row>
    <row r="220" spans="1:8">
      <c r="A220" s="18"/>
      <c r="B220" s="19"/>
      <c r="C220" s="19"/>
      <c r="D220" s="19"/>
      <c r="E220" s="19"/>
      <c r="F220" s="19"/>
      <c r="G220" s="19"/>
      <c r="H220" s="20"/>
    </row>
    <row r="221" spans="1:8" ht="13.9">
      <c r="A221" s="26" t="s">
        <v>229</v>
      </c>
      <c r="B221" s="26"/>
      <c r="C221" s="26"/>
      <c r="D221" s="26"/>
      <c r="E221" s="26"/>
      <c r="F221" s="26"/>
      <c r="G221" s="26"/>
      <c r="H221" s="26"/>
    </row>
    <row r="222" spans="1:8">
      <c r="A222" s="21" t="s">
        <v>230</v>
      </c>
      <c r="B222" s="21"/>
      <c r="C222" s="21"/>
      <c r="D222" s="32"/>
      <c r="E222" s="32"/>
      <c r="F222" s="32"/>
      <c r="G222" s="32"/>
      <c r="H222" s="32"/>
    </row>
    <row r="223" spans="1:8">
      <c r="A223" s="21" t="s">
        <v>231</v>
      </c>
      <c r="B223" s="21"/>
      <c r="C223" s="21"/>
      <c r="D223" s="32"/>
      <c r="E223" s="32"/>
      <c r="F223" s="32"/>
      <c r="G223" s="32"/>
      <c r="H223" s="32"/>
    </row>
    <row r="224" spans="1:8">
      <c r="A224" s="31" t="s">
        <v>232</v>
      </c>
      <c r="B224" s="31"/>
      <c r="C224" s="31"/>
      <c r="D224" s="31"/>
      <c r="E224" s="31"/>
      <c r="F224" s="31"/>
      <c r="G224" s="31"/>
      <c r="H224" s="31"/>
    </row>
  </sheetData>
  <mergeCells count="270">
    <mergeCell ref="A224:H224"/>
    <mergeCell ref="A221:H221"/>
    <mergeCell ref="A222:C222"/>
    <mergeCell ref="D222:H222"/>
    <mergeCell ref="A223:C223"/>
    <mergeCell ref="D223:H223"/>
    <mergeCell ref="B217:E217"/>
    <mergeCell ref="G217:H217"/>
    <mergeCell ref="B218:E218"/>
    <mergeCell ref="G218:H218"/>
    <mergeCell ref="B219:E219"/>
    <mergeCell ref="G219:H219"/>
    <mergeCell ref="B214:E214"/>
    <mergeCell ref="G214:H214"/>
    <mergeCell ref="B215:E215"/>
    <mergeCell ref="G215:H215"/>
    <mergeCell ref="B216:E216"/>
    <mergeCell ref="G216:H216"/>
    <mergeCell ref="B211:E211"/>
    <mergeCell ref="G211:H211"/>
    <mergeCell ref="B212:E212"/>
    <mergeCell ref="G212:H212"/>
    <mergeCell ref="B213:E213"/>
    <mergeCell ref="G213:H213"/>
    <mergeCell ref="B208:E208"/>
    <mergeCell ref="G208:H208"/>
    <mergeCell ref="B209:E209"/>
    <mergeCell ref="G209:H209"/>
    <mergeCell ref="B210:E210"/>
    <mergeCell ref="G210:H210"/>
    <mergeCell ref="A205:H205"/>
    <mergeCell ref="B206:E206"/>
    <mergeCell ref="G206:H206"/>
    <mergeCell ref="B207:E207"/>
    <mergeCell ref="G207:H207"/>
    <mergeCell ref="A197:H198"/>
    <mergeCell ref="A199:H199"/>
    <mergeCell ref="A200:H200"/>
    <mergeCell ref="A201:H202"/>
    <mergeCell ref="A203:H203"/>
    <mergeCell ref="C192:D192"/>
    <mergeCell ref="G192:H192"/>
    <mergeCell ref="A193:H193"/>
    <mergeCell ref="A195:H195"/>
    <mergeCell ref="A196:H196"/>
    <mergeCell ref="A194:H194"/>
    <mergeCell ref="C189:D189"/>
    <mergeCell ref="G189:H189"/>
    <mergeCell ref="C190:D190"/>
    <mergeCell ref="G190:H190"/>
    <mergeCell ref="C191:D191"/>
    <mergeCell ref="G191:H191"/>
    <mergeCell ref="C186:D186"/>
    <mergeCell ref="G186:H186"/>
    <mergeCell ref="C187:D187"/>
    <mergeCell ref="G187:H187"/>
    <mergeCell ref="C188:D188"/>
    <mergeCell ref="G188:H188"/>
    <mergeCell ref="A183:H183"/>
    <mergeCell ref="C184:D184"/>
    <mergeCell ref="G184:H184"/>
    <mergeCell ref="C185:D185"/>
    <mergeCell ref="G185:H185"/>
    <mergeCell ref="A180:C180"/>
    <mergeCell ref="D180:H180"/>
    <mergeCell ref="A181:C181"/>
    <mergeCell ref="D181:H181"/>
    <mergeCell ref="A182:C182"/>
    <mergeCell ref="D182:H182"/>
    <mergeCell ref="A177:C177"/>
    <mergeCell ref="D177:H177"/>
    <mergeCell ref="A178:C178"/>
    <mergeCell ref="D178:H178"/>
    <mergeCell ref="A179:C179"/>
    <mergeCell ref="D179:H179"/>
    <mergeCell ref="B173:C173"/>
    <mergeCell ref="F173:H173"/>
    <mergeCell ref="B174:C174"/>
    <mergeCell ref="F174:H174"/>
    <mergeCell ref="A176:H176"/>
    <mergeCell ref="A175:H175"/>
    <mergeCell ref="B170:C170"/>
    <mergeCell ref="F170:H170"/>
    <mergeCell ref="B171:C171"/>
    <mergeCell ref="F171:H171"/>
    <mergeCell ref="B172:C172"/>
    <mergeCell ref="F172:H172"/>
    <mergeCell ref="B167:C167"/>
    <mergeCell ref="F167:H167"/>
    <mergeCell ref="B168:C168"/>
    <mergeCell ref="F168:H168"/>
    <mergeCell ref="B169:C169"/>
    <mergeCell ref="F169:H169"/>
    <mergeCell ref="C162:E162"/>
    <mergeCell ref="F162:H162"/>
    <mergeCell ref="A164:H164"/>
    <mergeCell ref="A165:H165"/>
    <mergeCell ref="B166:C166"/>
    <mergeCell ref="F166:H166"/>
    <mergeCell ref="C159:E159"/>
    <mergeCell ref="F159:H159"/>
    <mergeCell ref="C160:E160"/>
    <mergeCell ref="F160:H160"/>
    <mergeCell ref="C161:E161"/>
    <mergeCell ref="F161:H161"/>
    <mergeCell ref="A154:C154"/>
    <mergeCell ref="D154:H154"/>
    <mergeCell ref="A156:H156"/>
    <mergeCell ref="A157:H157"/>
    <mergeCell ref="C158:E158"/>
    <mergeCell ref="F158:H158"/>
    <mergeCell ref="A149:H149"/>
    <mergeCell ref="A150:H151"/>
    <mergeCell ref="A152:H152"/>
    <mergeCell ref="A153:C153"/>
    <mergeCell ref="D153:H153"/>
    <mergeCell ref="A142:H142"/>
    <mergeCell ref="A144:H144"/>
    <mergeCell ref="A145:H145"/>
    <mergeCell ref="A146:H147"/>
    <mergeCell ref="A148:H148"/>
    <mergeCell ref="A135:H135"/>
    <mergeCell ref="A136:H137"/>
    <mergeCell ref="A138:H138"/>
    <mergeCell ref="A139:H139"/>
    <mergeCell ref="A140:H141"/>
    <mergeCell ref="A128:H128"/>
    <mergeCell ref="A130:H130"/>
    <mergeCell ref="A131:H131"/>
    <mergeCell ref="A132:H133"/>
    <mergeCell ref="A134:H134"/>
    <mergeCell ref="A119:C119"/>
    <mergeCell ref="D119:H119"/>
    <mergeCell ref="A120:H120"/>
    <mergeCell ref="A125:H125"/>
    <mergeCell ref="A126:H127"/>
    <mergeCell ref="A108:H108"/>
    <mergeCell ref="A113:H113"/>
    <mergeCell ref="A114:H115"/>
    <mergeCell ref="A116:H116"/>
    <mergeCell ref="A118:H118"/>
    <mergeCell ref="A100:H100"/>
    <mergeCell ref="A101:H103"/>
    <mergeCell ref="A104:H104"/>
    <mergeCell ref="A106:H106"/>
    <mergeCell ref="A107:C107"/>
    <mergeCell ref="D107:H107"/>
    <mergeCell ref="A91:C91"/>
    <mergeCell ref="D91:H91"/>
    <mergeCell ref="A92:H92"/>
    <mergeCell ref="A99:C99"/>
    <mergeCell ref="D99:H99"/>
    <mergeCell ref="A85:H85"/>
    <mergeCell ref="A86:H88"/>
    <mergeCell ref="A89:H89"/>
    <mergeCell ref="A90:C90"/>
    <mergeCell ref="D90:H90"/>
    <mergeCell ref="A78:H78"/>
    <mergeCell ref="A79:H79"/>
    <mergeCell ref="A80:H81"/>
    <mergeCell ref="A82:H82"/>
    <mergeCell ref="A84:H84"/>
    <mergeCell ref="A69:H69"/>
    <mergeCell ref="A70:H71"/>
    <mergeCell ref="A72:H72"/>
    <mergeCell ref="A73:H73"/>
    <mergeCell ref="A74:H77"/>
    <mergeCell ref="A65:H65"/>
    <mergeCell ref="A66:H67"/>
    <mergeCell ref="A68:H68"/>
    <mergeCell ref="A59:C59"/>
    <mergeCell ref="D59:H59"/>
    <mergeCell ref="A60:C60"/>
    <mergeCell ref="D60:H60"/>
    <mergeCell ref="A61:C61"/>
    <mergeCell ref="D61:H61"/>
    <mergeCell ref="A40:H40"/>
    <mergeCell ref="A50:C50"/>
    <mergeCell ref="D50:H50"/>
    <mergeCell ref="A51:C51"/>
    <mergeCell ref="D51:H51"/>
    <mergeCell ref="A36:C36"/>
    <mergeCell ref="D36:H36"/>
    <mergeCell ref="A37:C37"/>
    <mergeCell ref="D37:H37"/>
    <mergeCell ref="A39:H39"/>
    <mergeCell ref="A38:H38"/>
    <mergeCell ref="A33:C33"/>
    <mergeCell ref="D33:H33"/>
    <mergeCell ref="A34:H34"/>
    <mergeCell ref="A35:C35"/>
    <mergeCell ref="D35:H35"/>
    <mergeCell ref="A30:H30"/>
    <mergeCell ref="A31:C31"/>
    <mergeCell ref="D31:H31"/>
    <mergeCell ref="A32:C32"/>
    <mergeCell ref="D32:H32"/>
    <mergeCell ref="A27:C27"/>
    <mergeCell ref="D27:H27"/>
    <mergeCell ref="A28:C28"/>
    <mergeCell ref="D28:H28"/>
    <mergeCell ref="A29:C29"/>
    <mergeCell ref="D29:H29"/>
    <mergeCell ref="A24:C24"/>
    <mergeCell ref="D24:H24"/>
    <mergeCell ref="A25:C25"/>
    <mergeCell ref="D25:H25"/>
    <mergeCell ref="A26:C26"/>
    <mergeCell ref="D26:H26"/>
    <mergeCell ref="A21:C21"/>
    <mergeCell ref="D21:H21"/>
    <mergeCell ref="A22:C22"/>
    <mergeCell ref="D22:H22"/>
    <mergeCell ref="A23:C23"/>
    <mergeCell ref="D23:H23"/>
    <mergeCell ref="A16:C16"/>
    <mergeCell ref="D16:H16"/>
    <mergeCell ref="A17:H17"/>
    <mergeCell ref="A19:H19"/>
    <mergeCell ref="A20:C20"/>
    <mergeCell ref="D20:H20"/>
    <mergeCell ref="A18:H18"/>
    <mergeCell ref="A13:C13"/>
    <mergeCell ref="D13:H13"/>
    <mergeCell ref="A14:C14"/>
    <mergeCell ref="D14:H14"/>
    <mergeCell ref="A15:C15"/>
    <mergeCell ref="D15:H15"/>
    <mergeCell ref="A10:C10"/>
    <mergeCell ref="D10:H10"/>
    <mergeCell ref="A11:C11"/>
    <mergeCell ref="D11:H11"/>
    <mergeCell ref="A12:C12"/>
    <mergeCell ref="D12:H12"/>
    <mergeCell ref="A7:C7"/>
    <mergeCell ref="D7:H7"/>
    <mergeCell ref="A8:C8"/>
    <mergeCell ref="D8:H8"/>
    <mergeCell ref="A9:C9"/>
    <mergeCell ref="D9:H9"/>
    <mergeCell ref="A1:H2"/>
    <mergeCell ref="A3:H3"/>
    <mergeCell ref="A5:H5"/>
    <mergeCell ref="A6:C6"/>
    <mergeCell ref="D6:H6"/>
    <mergeCell ref="A4:H4"/>
    <mergeCell ref="A204:H204"/>
    <mergeCell ref="A220:H220"/>
    <mergeCell ref="A52:H52"/>
    <mergeCell ref="A63:H63"/>
    <mergeCell ref="A83:H83"/>
    <mergeCell ref="A105:H105"/>
    <mergeCell ref="A117:H117"/>
    <mergeCell ref="A129:H129"/>
    <mergeCell ref="A143:H143"/>
    <mergeCell ref="A155:H155"/>
    <mergeCell ref="A163:H163"/>
    <mergeCell ref="A56:C56"/>
    <mergeCell ref="D56:H56"/>
    <mergeCell ref="A57:C57"/>
    <mergeCell ref="D57:H57"/>
    <mergeCell ref="A58:C58"/>
    <mergeCell ref="D58:H58"/>
    <mergeCell ref="A53:H53"/>
    <mergeCell ref="A54:C54"/>
    <mergeCell ref="D54:H54"/>
    <mergeCell ref="A55:C55"/>
    <mergeCell ref="D55:H55"/>
    <mergeCell ref="A62:H62"/>
    <mergeCell ref="A64:H64"/>
  </mergeCells>
  <conditionalFormatting sqref="D119:H119">
    <cfRule type="expression" dxfId="0" priority="1">
      <formula>AND($D$119&lt;&gt;"",$D$119=$D$107)</formula>
    </cfRule>
  </conditionalFormatting>
  <dataValidations count="15">
    <dataValidation type="list" sqref="D25 D222:D223 D181 D178" xr:uid="{00000000-0002-0000-0000-000000000000}">
      <formula1>"Áno,Nie"</formula1>
    </dataValidation>
    <dataValidation type="list" sqref="D26 D179:D180 D60 D57 D54 D51 H42:H49" xr:uid="{00000000-0002-0000-0000-000001000000}">
      <formula1>"Áno,Nie,Nie je relevantné"</formula1>
    </dataValidation>
    <dataValidation type="list" sqref="D42:D49" xr:uid="{00000000-0002-0000-0000-000002000000}">
      <formula1>"C,E"</formula1>
    </dataValidation>
    <dataValidation type="list" sqref="F42:F49" xr:uid="{00000000-0002-0000-0000-000003000000}">
      <formula1>"Vlastník,Nájomca / užívateľ,Iný právny vzťah"</formula1>
    </dataValidation>
    <dataValidation type="list" sqref="D55" xr:uid="{00000000-0002-0000-0000-00001C000000}">
      <formula1>"Áno – pripravená,Čiastočne pripravená,Nie,Nie je relevantné"</formula1>
    </dataValidation>
    <dataValidation type="list" sqref="D58" xr:uid="{00000000-0002-0000-0000-00001E000000}">
      <formula1>"Právoplatné / zabezpečené,Proces začatý,Zatiaľ nezačatý,Nevyžaduje sa / nie je relevantné"</formula1>
    </dataValidation>
    <dataValidation type="list" sqref="D177" xr:uid="{00000000-0002-0000-0000-000020000000}">
      <formula1>"Nehospodárska činnosť,Hospodárska činnosť,Kombinovaná činnosť"</formula1>
    </dataValidation>
    <dataValidation type="list" sqref="F207:F219" xr:uid="{00000000-0002-0000-0000-000025000000}">
      <formula1>"Priložená,Nie je relevantná,Doplniť"</formula1>
    </dataValidation>
    <dataValidation type="list" sqref="D91" xr:uid="{00000000-0002-0000-0000-000034000000}">
      <formula1>$AA$2:$AA$4</formula1>
    </dataValidation>
    <dataValidation type="list" sqref="B94:B98" xr:uid="{00000000-0002-0000-0000-000035000000}">
      <formula1>OFFSET($AB$1,INDEX($AC$2:$AC$4,MATCH($D$91,$AA$2:$AA$4,0)),0,INDEX($AD$2:$AD$4,MATCH($D$91,$AA$2:$AA$4,0)),1)</formula1>
    </dataValidation>
    <dataValidation type="list" sqref="C122:C124 C110:C112 C94:C98" xr:uid="{00000000-0002-0000-0000-000036000000}">
      <formula1>OFFSET($AK$1,INDEX($AI$2:$AI$10,MATCH(B94,$AH$2:$AH$10,0)),0,INDEX($AJ$2:$AJ$10,MATCH(B94,$AH$2:$AH$10,0)),1)</formula1>
    </dataValidation>
    <dataValidation type="list" sqref="D107" xr:uid="{00000000-0002-0000-0000-00003F000000}">
      <formula1>OFFSET($AE$1,1,MATCH($D$91,$AA$2:$AA$4,0)-1,2,1)</formula1>
    </dataValidation>
    <dataValidation type="list" sqref="B110:B112" xr:uid="{00000000-0002-0000-0000-000040000000}">
      <formula1>OFFSET($AB$1,INDEX($AC$2:$AC$4,MATCH($D$107,$AA$2:$AA$4,0)),0,INDEX($AD$2:$AD$4,MATCH($D$107,$AA$2:$AA$4,0)),1)</formula1>
    </dataValidation>
    <dataValidation type="list" sqref="D119" xr:uid="{00000000-0002-0000-0000-000046000000}">
      <formula1>OFFSET($AR$1,MATCH($D$91&amp;"|"&amp;$D$107,$AQ$2:$AQ$7,0),0,1,1)</formula1>
    </dataValidation>
    <dataValidation type="list" sqref="B122:B124" xr:uid="{00000000-0002-0000-0000-000047000000}">
      <formula1>OFFSET($AB$1,INDEX($AC$2:$AC$4,MATCH($D$119,$AA$2:$AA$4,0)),0,INDEX($AD$2:$AD$4,MATCH($D$119,$AA$2:$AA$4,0)),1)</formula1>
    </dataValidation>
  </dataValidations>
  <pageMargins left="0.7" right="0.7" top="0.75" bottom="0.75" header="0.3" footer="0.3"/>
  <pageSetup paperSize="9" scale="1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3.5"/>
  <cols>
    <col min="1" max="2" width="34" customWidth="1"/>
    <col min="3" max="3" width="58" customWidth="1"/>
    <col min="4" max="4" width="18" customWidth="1"/>
  </cols>
  <sheetData>
    <row r="1" spans="1:4" ht="13.9">
      <c r="A1" s="1" t="s">
        <v>233</v>
      </c>
      <c r="B1" s="2" t="s">
        <v>149</v>
      </c>
      <c r="C1" s="2" t="s">
        <v>150</v>
      </c>
      <c r="D1" s="3" t="s">
        <v>151</v>
      </c>
    </row>
    <row r="2" spans="1:4" ht="27">
      <c r="A2" s="4" t="s">
        <v>5</v>
      </c>
      <c r="B2" s="5" t="s">
        <v>16</v>
      </c>
      <c r="C2" s="5" t="s">
        <v>17</v>
      </c>
      <c r="D2" s="6" t="s">
        <v>18</v>
      </c>
    </row>
    <row r="3" spans="1:4" ht="27">
      <c r="A3" s="7" t="s">
        <v>5</v>
      </c>
      <c r="B3" s="8" t="s">
        <v>16</v>
      </c>
      <c r="C3" s="8" t="s">
        <v>22</v>
      </c>
      <c r="D3" s="9" t="s">
        <v>23</v>
      </c>
    </row>
    <row r="4" spans="1:4" ht="27">
      <c r="A4" s="7" t="s">
        <v>5</v>
      </c>
      <c r="B4" s="8" t="s">
        <v>16</v>
      </c>
      <c r="C4" s="8" t="s">
        <v>26</v>
      </c>
      <c r="D4" s="9" t="s">
        <v>27</v>
      </c>
    </row>
    <row r="5" spans="1:4" ht="27">
      <c r="A5" s="7" t="s">
        <v>5</v>
      </c>
      <c r="B5" s="8" t="s">
        <v>16</v>
      </c>
      <c r="C5" s="8" t="s">
        <v>31</v>
      </c>
      <c r="D5" s="9" t="s">
        <v>32</v>
      </c>
    </row>
    <row r="6" spans="1:4" ht="27">
      <c r="A6" s="7" t="s">
        <v>5</v>
      </c>
      <c r="B6" s="8" t="s">
        <v>16</v>
      </c>
      <c r="C6" s="8" t="s">
        <v>36</v>
      </c>
      <c r="D6" s="9" t="s">
        <v>37</v>
      </c>
    </row>
    <row r="7" spans="1:4" ht="27">
      <c r="A7" s="7" t="s">
        <v>5</v>
      </c>
      <c r="B7" s="8" t="s">
        <v>21</v>
      </c>
      <c r="C7" s="8" t="s">
        <v>41</v>
      </c>
      <c r="D7" s="9" t="s">
        <v>23</v>
      </c>
    </row>
    <row r="8" spans="1:4" ht="27">
      <c r="A8" s="7" t="s">
        <v>5</v>
      </c>
      <c r="B8" s="8" t="s">
        <v>21</v>
      </c>
      <c r="C8" s="8" t="s">
        <v>45</v>
      </c>
      <c r="D8" s="9" t="s">
        <v>23</v>
      </c>
    </row>
    <row r="9" spans="1:4" ht="27">
      <c r="A9" s="7" t="s">
        <v>5</v>
      </c>
      <c r="B9" s="8" t="s">
        <v>21</v>
      </c>
      <c r="C9" s="8" t="s">
        <v>48</v>
      </c>
      <c r="D9" s="9" t="s">
        <v>49</v>
      </c>
    </row>
    <row r="10" spans="1:4" ht="27">
      <c r="A10" s="7" t="s">
        <v>5</v>
      </c>
      <c r="B10" s="8" t="s">
        <v>21</v>
      </c>
      <c r="C10" s="8" t="s">
        <v>52</v>
      </c>
      <c r="D10" s="9" t="s">
        <v>37</v>
      </c>
    </row>
    <row r="11" spans="1:4" ht="27">
      <c r="A11" s="7" t="s">
        <v>5</v>
      </c>
      <c r="B11" s="8" t="s">
        <v>25</v>
      </c>
      <c r="C11" s="8" t="s">
        <v>54</v>
      </c>
      <c r="D11" s="9" t="s">
        <v>18</v>
      </c>
    </row>
    <row r="12" spans="1:4" ht="27">
      <c r="A12" s="7" t="s">
        <v>5</v>
      </c>
      <c r="B12" s="8" t="s">
        <v>25</v>
      </c>
      <c r="C12" s="8" t="s">
        <v>56</v>
      </c>
      <c r="D12" s="9" t="s">
        <v>49</v>
      </c>
    </row>
    <row r="13" spans="1:4" ht="27">
      <c r="A13" s="7" t="s">
        <v>5</v>
      </c>
      <c r="B13" s="8" t="s">
        <v>25</v>
      </c>
      <c r="C13" s="8" t="s">
        <v>58</v>
      </c>
      <c r="D13" s="9" t="s">
        <v>23</v>
      </c>
    </row>
    <row r="14" spans="1:4" ht="27">
      <c r="A14" s="7" t="s">
        <v>5</v>
      </c>
      <c r="B14" s="8" t="s">
        <v>25</v>
      </c>
      <c r="C14" s="8" t="s">
        <v>60</v>
      </c>
      <c r="D14" s="9" t="s">
        <v>27</v>
      </c>
    </row>
    <row r="15" spans="1:4" ht="27">
      <c r="A15" s="7" t="s">
        <v>6</v>
      </c>
      <c r="B15" s="8" t="s">
        <v>30</v>
      </c>
      <c r="C15" s="8" t="s">
        <v>62</v>
      </c>
      <c r="D15" s="9" t="s">
        <v>23</v>
      </c>
    </row>
    <row r="16" spans="1:4" ht="27">
      <c r="A16" s="7" t="s">
        <v>6</v>
      </c>
      <c r="B16" s="8" t="s">
        <v>30</v>
      </c>
      <c r="C16" s="8" t="s">
        <v>64</v>
      </c>
      <c r="D16" s="9" t="s">
        <v>23</v>
      </c>
    </row>
    <row r="17" spans="1:4" ht="27">
      <c r="A17" s="7" t="s">
        <v>6</v>
      </c>
      <c r="B17" s="8" t="s">
        <v>30</v>
      </c>
      <c r="C17" s="8" t="s">
        <v>66</v>
      </c>
      <c r="D17" s="9" t="s">
        <v>23</v>
      </c>
    </row>
    <row r="18" spans="1:4" ht="27">
      <c r="A18" s="7" t="s">
        <v>6</v>
      </c>
      <c r="B18" s="8" t="s">
        <v>30</v>
      </c>
      <c r="C18" s="8" t="s">
        <v>67</v>
      </c>
      <c r="D18" s="9" t="s">
        <v>37</v>
      </c>
    </row>
    <row r="19" spans="1:4" ht="27">
      <c r="A19" s="7" t="s">
        <v>6</v>
      </c>
      <c r="B19" s="8" t="s">
        <v>35</v>
      </c>
      <c r="C19" s="8" t="s">
        <v>69</v>
      </c>
      <c r="D19" s="9" t="s">
        <v>37</v>
      </c>
    </row>
    <row r="20" spans="1:4" ht="27">
      <c r="A20" s="7" t="s">
        <v>6</v>
      </c>
      <c r="B20" s="8" t="s">
        <v>35</v>
      </c>
      <c r="C20" s="8" t="s">
        <v>71</v>
      </c>
      <c r="D20" s="9" t="s">
        <v>37</v>
      </c>
    </row>
    <row r="21" spans="1:4" ht="27">
      <c r="A21" s="7" t="s">
        <v>6</v>
      </c>
      <c r="B21" s="8" t="s">
        <v>35</v>
      </c>
      <c r="C21" s="8" t="s">
        <v>73</v>
      </c>
      <c r="D21" s="9" t="s">
        <v>23</v>
      </c>
    </row>
    <row r="22" spans="1:4" ht="27">
      <c r="A22" s="7" t="s">
        <v>6</v>
      </c>
      <c r="B22" s="8" t="s">
        <v>35</v>
      </c>
      <c r="C22" s="8" t="s">
        <v>75</v>
      </c>
      <c r="D22" s="9" t="s">
        <v>23</v>
      </c>
    </row>
    <row r="23" spans="1:4" ht="27">
      <c r="A23" s="7" t="s">
        <v>6</v>
      </c>
      <c r="B23" s="8" t="s">
        <v>35</v>
      </c>
      <c r="C23" s="8" t="s">
        <v>77</v>
      </c>
      <c r="D23" s="9" t="s">
        <v>78</v>
      </c>
    </row>
    <row r="24" spans="1:4" ht="27">
      <c r="A24" s="7" t="s">
        <v>6</v>
      </c>
      <c r="B24" s="8" t="s">
        <v>40</v>
      </c>
      <c r="C24" s="8" t="s">
        <v>80</v>
      </c>
      <c r="D24" s="9" t="s">
        <v>49</v>
      </c>
    </row>
    <row r="25" spans="1:4" ht="27">
      <c r="A25" s="7" t="s">
        <v>6</v>
      </c>
      <c r="B25" s="8" t="s">
        <v>40</v>
      </c>
      <c r="C25" s="8" t="s">
        <v>82</v>
      </c>
      <c r="D25" s="9" t="s">
        <v>37</v>
      </c>
    </row>
    <row r="26" spans="1:4" ht="27">
      <c r="A26" s="7" t="s">
        <v>6</v>
      </c>
      <c r="B26" s="8" t="s">
        <v>40</v>
      </c>
      <c r="C26" s="8" t="s">
        <v>84</v>
      </c>
      <c r="D26" s="9" t="s">
        <v>23</v>
      </c>
    </row>
    <row r="27" spans="1:4" ht="27">
      <c r="A27" s="7" t="s">
        <v>6</v>
      </c>
      <c r="B27" s="8" t="s">
        <v>40</v>
      </c>
      <c r="C27" s="8" t="s">
        <v>86</v>
      </c>
      <c r="D27" s="9" t="s">
        <v>27</v>
      </c>
    </row>
    <row r="28" spans="1:4" ht="27">
      <c r="A28" s="7" t="s">
        <v>6</v>
      </c>
      <c r="B28" s="8" t="s">
        <v>40</v>
      </c>
      <c r="C28" s="8" t="s">
        <v>88</v>
      </c>
      <c r="D28" s="9" t="s">
        <v>27</v>
      </c>
    </row>
    <row r="29" spans="1:4" ht="27">
      <c r="A29" s="7" t="s">
        <v>7</v>
      </c>
      <c r="B29" s="8" t="s">
        <v>44</v>
      </c>
      <c r="C29" s="8" t="s">
        <v>90</v>
      </c>
      <c r="D29" s="9" t="s">
        <v>91</v>
      </c>
    </row>
    <row r="30" spans="1:4" ht="27">
      <c r="A30" s="7" t="s">
        <v>7</v>
      </c>
      <c r="B30" s="8" t="s">
        <v>44</v>
      </c>
      <c r="C30" s="8" t="s">
        <v>93</v>
      </c>
      <c r="D30" s="9" t="s">
        <v>49</v>
      </c>
    </row>
    <row r="31" spans="1:4" ht="27">
      <c r="A31" s="7" t="s">
        <v>7</v>
      </c>
      <c r="B31" s="8" t="s">
        <v>44</v>
      </c>
      <c r="C31" s="8" t="s">
        <v>95</v>
      </c>
      <c r="D31" s="9" t="s">
        <v>91</v>
      </c>
    </row>
    <row r="32" spans="1:4" ht="27">
      <c r="A32" s="7" t="s">
        <v>7</v>
      </c>
      <c r="B32" s="8" t="s">
        <v>44</v>
      </c>
      <c r="C32" s="8" t="s">
        <v>97</v>
      </c>
      <c r="D32" s="9" t="s">
        <v>91</v>
      </c>
    </row>
    <row r="33" spans="1:4" ht="27">
      <c r="A33" s="7" t="s">
        <v>7</v>
      </c>
      <c r="B33" s="8" t="s">
        <v>44</v>
      </c>
      <c r="C33" s="8" t="s">
        <v>99</v>
      </c>
      <c r="D33" s="9" t="s">
        <v>100</v>
      </c>
    </row>
    <row r="34" spans="1:4" ht="27">
      <c r="A34" s="7" t="s">
        <v>7</v>
      </c>
      <c r="B34" s="8" t="s">
        <v>47</v>
      </c>
      <c r="C34" s="8" t="s">
        <v>102</v>
      </c>
      <c r="D34" s="9" t="s">
        <v>91</v>
      </c>
    </row>
    <row r="35" spans="1:4" ht="27">
      <c r="A35" s="7" t="s">
        <v>7</v>
      </c>
      <c r="B35" s="8" t="s">
        <v>47</v>
      </c>
      <c r="C35" s="8" t="s">
        <v>103</v>
      </c>
      <c r="D35" s="9" t="s">
        <v>91</v>
      </c>
    </row>
    <row r="36" spans="1:4" ht="27">
      <c r="A36" s="7" t="s">
        <v>7</v>
      </c>
      <c r="B36" s="8" t="s">
        <v>47</v>
      </c>
      <c r="C36" s="8" t="s">
        <v>104</v>
      </c>
      <c r="D36" s="9" t="s">
        <v>105</v>
      </c>
    </row>
    <row r="37" spans="1:4" ht="27">
      <c r="A37" s="7" t="s">
        <v>7</v>
      </c>
      <c r="B37" s="8" t="s">
        <v>51</v>
      </c>
      <c r="C37" s="8" t="s">
        <v>106</v>
      </c>
      <c r="D37" s="9" t="s">
        <v>91</v>
      </c>
    </row>
    <row r="38" spans="1:4" ht="27">
      <c r="A38" s="7" t="s">
        <v>7</v>
      </c>
      <c r="B38" s="8" t="s">
        <v>51</v>
      </c>
      <c r="C38" s="8" t="s">
        <v>107</v>
      </c>
      <c r="D38" s="9" t="s">
        <v>49</v>
      </c>
    </row>
    <row r="39" spans="1:4" ht="27">
      <c r="A39" s="7" t="s">
        <v>7</v>
      </c>
      <c r="B39" s="8" t="s">
        <v>51</v>
      </c>
      <c r="C39" s="8" t="s">
        <v>109</v>
      </c>
      <c r="D39" s="9" t="s">
        <v>23</v>
      </c>
    </row>
    <row r="40" spans="1:4" ht="27">
      <c r="A40" s="7" t="s">
        <v>7</v>
      </c>
      <c r="B40" s="8" t="s">
        <v>51</v>
      </c>
      <c r="C40" s="8" t="s">
        <v>111</v>
      </c>
      <c r="D40" s="9" t="s">
        <v>37</v>
      </c>
    </row>
    <row r="41" spans="1:4" ht="27">
      <c r="A41" s="10" t="s">
        <v>7</v>
      </c>
      <c r="B41" s="11" t="s">
        <v>51</v>
      </c>
      <c r="C41" s="11" t="s">
        <v>120</v>
      </c>
      <c r="D41" s="1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3.5"/>
  <cols>
    <col min="1" max="1" width="24" customWidth="1"/>
    <col min="2" max="2" width="52" customWidth="1"/>
    <col min="3" max="3" width="64" customWidth="1"/>
  </cols>
  <sheetData>
    <row r="1" spans="1:3" ht="13.9">
      <c r="A1" s="1" t="s">
        <v>234</v>
      </c>
      <c r="B1" s="2" t="s">
        <v>235</v>
      </c>
      <c r="C1" s="3" t="s">
        <v>236</v>
      </c>
    </row>
    <row r="2" spans="1:3" ht="24" customHeight="1">
      <c r="A2" s="4" t="s">
        <v>237</v>
      </c>
      <c r="B2" s="5" t="s">
        <v>238</v>
      </c>
      <c r="C2" s="6" t="s">
        <v>239</v>
      </c>
    </row>
    <row r="3" spans="1:3" ht="24" customHeight="1">
      <c r="A3" s="7" t="s">
        <v>240</v>
      </c>
      <c r="B3" s="8" t="s">
        <v>241</v>
      </c>
      <c r="C3" s="9" t="s">
        <v>242</v>
      </c>
    </row>
    <row r="4" spans="1:3" ht="24" customHeight="1">
      <c r="A4" s="7" t="s">
        <v>243</v>
      </c>
      <c r="B4" s="8" t="s">
        <v>244</v>
      </c>
      <c r="C4" s="9" t="s">
        <v>245</v>
      </c>
    </row>
    <row r="5" spans="1:3" ht="24" customHeight="1">
      <c r="A5" s="7" t="s">
        <v>246</v>
      </c>
      <c r="B5" s="8" t="s">
        <v>247</v>
      </c>
      <c r="C5" s="9" t="s">
        <v>248</v>
      </c>
    </row>
    <row r="6" spans="1:3" ht="24" customHeight="1">
      <c r="A6" s="7" t="s">
        <v>249</v>
      </c>
      <c r="B6" s="8" t="s">
        <v>250</v>
      </c>
      <c r="C6" s="9" t="s">
        <v>251</v>
      </c>
    </row>
    <row r="7" spans="1:3" ht="24" customHeight="1">
      <c r="A7" s="7" t="s">
        <v>252</v>
      </c>
      <c r="B7" s="8" t="s">
        <v>253</v>
      </c>
      <c r="C7" s="9" t="s">
        <v>254</v>
      </c>
    </row>
    <row r="8" spans="1:3" ht="24" customHeight="1">
      <c r="A8" s="7" t="s">
        <v>255</v>
      </c>
      <c r="B8" s="8" t="s">
        <v>256</v>
      </c>
      <c r="C8" s="9" t="s">
        <v>257</v>
      </c>
    </row>
    <row r="9" spans="1:3" ht="24" customHeight="1">
      <c r="A9" s="7" t="s">
        <v>258</v>
      </c>
      <c r="B9" s="8" t="s">
        <v>259</v>
      </c>
      <c r="C9" s="9" t="s">
        <v>260</v>
      </c>
    </row>
    <row r="10" spans="1:3" ht="24" customHeight="1">
      <c r="A10" s="7" t="s">
        <v>149</v>
      </c>
      <c r="B10" s="8" t="s">
        <v>261</v>
      </c>
      <c r="C10" s="9" t="s">
        <v>262</v>
      </c>
    </row>
    <row r="11" spans="1:3" ht="24" customHeight="1">
      <c r="A11" s="7" t="s">
        <v>263</v>
      </c>
      <c r="B11" s="8" t="s">
        <v>264</v>
      </c>
      <c r="C11" s="9" t="s">
        <v>265</v>
      </c>
    </row>
    <row r="12" spans="1:3" ht="24" customHeight="1">
      <c r="A12" s="7" t="s">
        <v>266</v>
      </c>
      <c r="B12" s="8" t="s">
        <v>267</v>
      </c>
      <c r="C12" s="9" t="s">
        <v>268</v>
      </c>
    </row>
    <row r="13" spans="1:3" ht="24" customHeight="1">
      <c r="A13" s="7" t="s">
        <v>269</v>
      </c>
      <c r="B13" s="8" t="s">
        <v>270</v>
      </c>
      <c r="C13" s="9" t="s">
        <v>271</v>
      </c>
    </row>
    <row r="14" spans="1:3" ht="24" customHeight="1">
      <c r="A14" s="7" t="s">
        <v>272</v>
      </c>
      <c r="B14" s="8" t="s">
        <v>273</v>
      </c>
      <c r="C14" s="9" t="s">
        <v>274</v>
      </c>
    </row>
    <row r="15" spans="1:3" ht="24" customHeight="1">
      <c r="A15" s="7" t="s">
        <v>275</v>
      </c>
      <c r="B15" s="8" t="s">
        <v>276</v>
      </c>
      <c r="C15" s="9" t="s">
        <v>277</v>
      </c>
    </row>
    <row r="16" spans="1:3" ht="24" customHeight="1">
      <c r="A16" s="10" t="s">
        <v>278</v>
      </c>
      <c r="B16" s="11" t="s">
        <v>279</v>
      </c>
      <c r="C16" s="12" t="s">
        <v>280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00BF1C495FAB147BF06918B7BFEB767" ma:contentTypeVersion="3" ma:contentTypeDescription="Umožňuje vytvoriť nový dokument." ma:contentTypeScope="" ma:versionID="fd68ad8eed98be0fb5e7bfdc287c3f09">
  <xsd:schema xmlns:xsd="http://www.w3.org/2001/XMLSchema" xmlns:xs="http://www.w3.org/2001/XMLSchema" xmlns:p="http://schemas.microsoft.com/office/2006/metadata/properties" xmlns:ns2="8388a34c-f664-4a01-be2f-346eec2810be" targetNamespace="http://schemas.microsoft.com/office/2006/metadata/properties" ma:root="true" ma:fieldsID="b3422611e8eb605569fb9c9c651b3391" ns2:_="">
    <xsd:import namespace="8388a34c-f664-4a01-be2f-346eec281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8a34c-f664-4a01-be2f-346eec281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57F2B-19BE-4569-8F72-1E67CDE6C3E2}"/>
</file>

<file path=customXml/itemProps2.xml><?xml version="1.0" encoding="utf-8"?>
<ds:datastoreItem xmlns:ds="http://schemas.openxmlformats.org/officeDocument/2006/customXml" ds:itemID="{28C5B863-FB41-4B43-9E7A-96C6B56159EB}"/>
</file>

<file path=customXml/itemProps3.xml><?xml version="1.0" encoding="utf-8"?>
<ds:datastoreItem xmlns:ds="http://schemas.openxmlformats.org/officeDocument/2006/customXml" ds:itemID="{3FEE7173-F28E-4FD5-9D3E-9980575D9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Žiadosť</vt:lpstr>
      <vt:lpstr>Číselník</vt:lpstr>
      <vt:lpstr>Pokyny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Ondova Marcela</dc:creator>
  <cp:lastModifiedBy>Ondova Marcela</cp:lastModifiedBy>
  <cp:lastPrinted>2026-09-25T10:53:56Z</cp:lastPrinted>
  <dcterms:created xsi:type="dcterms:W3CDTF">2026-09-25T09:48:52Z</dcterms:created>
  <dcterms:modified xsi:type="dcterms:W3CDTF">2026-09-25T10:53:59Z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0x010100C00BF1C495FAB147BF06918B7BFEB767</vt:lpwstr>
  </property>
</Properties>
</file>